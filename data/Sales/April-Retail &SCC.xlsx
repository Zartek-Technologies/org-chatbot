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j\Desktop\"/>
    </mc:Choice>
  </mc:AlternateContent>
  <xr:revisionPtr revIDLastSave="0" documentId="13_ncr:1_{223315C4-ED45-400C-B8AA-7E7EF96044D4}" xr6:coauthVersionLast="47" xr6:coauthVersionMax="47" xr10:uidLastSave="{00000000-0000-0000-0000-000000000000}"/>
  <bookViews>
    <workbookView xWindow="-120" yWindow="-120" windowWidth="20730" windowHeight="11040" xr2:uid="{0A1C022A-7E5B-41AD-9AE2-B33124D0A9CF}"/>
  </bookViews>
  <sheets>
    <sheet name="Sheet1" sheetId="1" r:id="rId1"/>
    <sheet name="Sheet2" sheetId="2" r:id="rId2"/>
  </sheets>
  <definedNames>
    <definedName name="_xlnm._FilterDatabase" localSheetId="0" hidden="1">Sheet1!$A$2:$AI$33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2" l="1"/>
  <c r="E9" i="2"/>
  <c r="F9" i="2" s="1"/>
  <c r="D9" i="2"/>
  <c r="C9" i="2"/>
  <c r="G8" i="2"/>
  <c r="F8" i="2"/>
  <c r="G7" i="2"/>
  <c r="F7" i="2"/>
  <c r="G6" i="2"/>
  <c r="F6" i="2"/>
  <c r="G5" i="2"/>
  <c r="F5" i="2"/>
  <c r="G4" i="2"/>
  <c r="G9" i="2" s="1"/>
  <c r="F4" i="2"/>
  <c r="N28" i="1"/>
  <c r="K28" i="1"/>
  <c r="N27" i="1"/>
</calcChain>
</file>

<file path=xl/sharedStrings.xml><?xml version="1.0" encoding="utf-8"?>
<sst xmlns="http://schemas.openxmlformats.org/spreadsheetml/2006/main" count="321" uniqueCount="219">
  <si>
    <t>Sl.No</t>
  </si>
  <si>
    <t>Model</t>
  </si>
  <si>
    <t>Color</t>
  </si>
  <si>
    <t>Trim</t>
  </si>
  <si>
    <t>Type</t>
  </si>
  <si>
    <t xml:space="preserve">Comm no </t>
  </si>
  <si>
    <t>Product Name</t>
  </si>
  <si>
    <t>Customer Name</t>
  </si>
  <si>
    <t>SC</t>
  </si>
  <si>
    <t>Bkng.Dt.</t>
  </si>
  <si>
    <t>Status</t>
  </si>
  <si>
    <t>SCC DONE</t>
  </si>
  <si>
    <t>Code</t>
  </si>
  <si>
    <t>Inv.Dt.</t>
  </si>
  <si>
    <t>Chassis no</t>
  </si>
  <si>
    <t>Engine</t>
  </si>
  <si>
    <t>Trans.ID</t>
  </si>
  <si>
    <t>Corporate</t>
  </si>
  <si>
    <t>Yard</t>
  </si>
  <si>
    <t>PDI</t>
  </si>
  <si>
    <t>Anandhu</t>
  </si>
  <si>
    <t>135-BEIGE</t>
  </si>
  <si>
    <t>149-POLAR WHITE</t>
  </si>
  <si>
    <t>197-OBSIDIAN BLACK</t>
  </si>
  <si>
    <t>GLS 450d</t>
  </si>
  <si>
    <t>124-BROWN</t>
  </si>
  <si>
    <t>X167 GLS 450d 4MATIC</t>
  </si>
  <si>
    <t>Shahabas</t>
  </si>
  <si>
    <t>842-SODALITH BLUE</t>
  </si>
  <si>
    <t>149U-Polar White</t>
  </si>
  <si>
    <t>885-OPALITH WHITE</t>
  </si>
  <si>
    <t>104-BROWN</t>
  </si>
  <si>
    <t>Thamjeed</t>
  </si>
  <si>
    <t>Basil</t>
  </si>
  <si>
    <t>APRIL RETAIL &amp; SALES CARD CAPTURE</t>
  </si>
  <si>
    <t>APRIL DEMO WHOLESALE</t>
  </si>
  <si>
    <t>APRIL DEMO RETAIL</t>
  </si>
  <si>
    <t>0482584936</t>
  </si>
  <si>
    <t>Anees Babu P</t>
  </si>
  <si>
    <t>Sreejesh</t>
  </si>
  <si>
    <t>Apr invcd</t>
  </si>
  <si>
    <t>W1NFF3DE4SM029506</t>
  </si>
  <si>
    <t>65683080049061</t>
  </si>
  <si>
    <t>S680 4M</t>
  </si>
  <si>
    <t>DualTone - 595U-nautic blue / 922U-high-tech silver</t>
  </si>
  <si>
    <t>511A-Exclusive nappa black</t>
  </si>
  <si>
    <t>0482511304</t>
  </si>
  <si>
    <t>CBU Z223 Mercedes-Maybach S 680 4MATIC</t>
  </si>
  <si>
    <t>Kuzhuppilly Govinda Menon Anil Kumar Managing Director ICL Fincorp Limited</t>
  </si>
  <si>
    <t>W1K6X7KBXSA320698</t>
  </si>
  <si>
    <t>279980N0015005</t>
  </si>
  <si>
    <t>GLS 450</t>
  </si>
  <si>
    <t>0482586718</t>
  </si>
  <si>
    <t>GLS 450 4MATIC</t>
  </si>
  <si>
    <t>Muhammed Faizal M A</t>
  </si>
  <si>
    <t>W1NFF5KE3SM030256</t>
  </si>
  <si>
    <t>GLE 450</t>
  </si>
  <si>
    <t>0482586369</t>
  </si>
  <si>
    <t>V167 GLE 450 4MATIC</t>
  </si>
  <si>
    <t>PALAVATHU KRISHNAN NAIR BIJU</t>
  </si>
  <si>
    <t>W1NFB5KB7SM030195</t>
  </si>
  <si>
    <t>25683030193471</t>
  </si>
  <si>
    <t>0482585024</t>
  </si>
  <si>
    <t>Ajayya Kumar</t>
  </si>
  <si>
    <t>Manesh G</t>
  </si>
  <si>
    <t>W1NFF3DE5SM029594</t>
  </si>
  <si>
    <t>65683080049124</t>
  </si>
  <si>
    <t>C 200</t>
  </si>
  <si>
    <t>0482582120</t>
  </si>
  <si>
    <t>W206 C 200</t>
  </si>
  <si>
    <t>Jayakrishnan N B</t>
  </si>
  <si>
    <t>W1KAF4CB9SL017832</t>
  </si>
  <si>
    <t>254915V0720778</t>
  </si>
  <si>
    <t>IN2510112442</t>
  </si>
  <si>
    <t>IN2410002718</t>
  </si>
  <si>
    <t>IN2510133573</t>
  </si>
  <si>
    <t>IN2510122947</t>
  </si>
  <si>
    <t>IN2510114505</t>
  </si>
  <si>
    <t>IN2510129864</t>
  </si>
  <si>
    <t>E220d</t>
  </si>
  <si>
    <t>197U-OBSIDIAN BLACK</t>
  </si>
  <si>
    <t>124A-ARTICO BROWN</t>
  </si>
  <si>
    <t>0482587132</t>
  </si>
  <si>
    <t>V214 E 220d</t>
  </si>
  <si>
    <t>Preetha Nisha Nazeem</t>
  </si>
  <si>
    <t>Josbin</t>
  </si>
  <si>
    <t>W1KLG0EB4SL005132</t>
  </si>
  <si>
    <t>65482080281108</t>
  </si>
  <si>
    <t>C 220d</t>
  </si>
  <si>
    <t>0482583991</t>
  </si>
  <si>
    <t>W206 C 220d</t>
  </si>
  <si>
    <t>Khairul Abidha K V</t>
  </si>
  <si>
    <t>Nidhin</t>
  </si>
  <si>
    <t>W1KAF0EB4SL017999</t>
  </si>
  <si>
    <t>65482080257666</t>
  </si>
  <si>
    <t>IN2510123668</t>
  </si>
  <si>
    <t>IN2510130866</t>
  </si>
  <si>
    <t>0482586792</t>
  </si>
  <si>
    <t>X167 GLS 450 4MATIC</t>
  </si>
  <si>
    <t>Renju N</t>
  </si>
  <si>
    <t>W1NFF5KE0SM030330</t>
  </si>
  <si>
    <t>25683030193553</t>
  </si>
  <si>
    <t>GLE300d4M</t>
  </si>
  <si>
    <t>0482586516</t>
  </si>
  <si>
    <t>V167 GLE 300d 4MATIC AMG Line</t>
  </si>
  <si>
    <t>Khalid Cholayil</t>
  </si>
  <si>
    <t>W1NFB0KB6SM030630</t>
  </si>
  <si>
    <t>65482080268060</t>
  </si>
  <si>
    <t>IN2510143807</t>
  </si>
  <si>
    <t>IN2510128059</t>
  </si>
  <si>
    <t>0482585535</t>
  </si>
  <si>
    <t>Jabir Chalikandy Puthiyapurayil</t>
  </si>
  <si>
    <t>W1KLG0EB8SL004615</t>
  </si>
  <si>
    <t>65482080267863</t>
  </si>
  <si>
    <t>E200</t>
  </si>
  <si>
    <t>197U-obsidian black</t>
  </si>
  <si>
    <t>125A-ARTICO BEIGE</t>
  </si>
  <si>
    <t>0582570220</t>
  </si>
  <si>
    <t>V214 E 200</t>
  </si>
  <si>
    <t>Dr. DEEPAK DAVIDSON</t>
  </si>
  <si>
    <t>W1KLG5AB5SL005644</t>
  </si>
  <si>
    <t>254920V0843818</t>
  </si>
  <si>
    <t>IN2510143553</t>
  </si>
  <si>
    <t>IN2510140896</t>
  </si>
  <si>
    <t>EQS SUV 5804M</t>
  </si>
  <si>
    <t>989U-SMARAGD GREEN</t>
  </si>
  <si>
    <t>209A-LEDER - GELB / WEISS</t>
  </si>
  <si>
    <t>0482575453</t>
  </si>
  <si>
    <t>001 X296 EQS SUV 580 4MATIC 989 209</t>
  </si>
  <si>
    <t>MD, Asten Ortho pvt.ltd.</t>
  </si>
  <si>
    <t>Thamjeed-01/04</t>
  </si>
  <si>
    <t>Apr invcd/dlvrd</t>
  </si>
  <si>
    <t>VH0003200011</t>
  </si>
  <si>
    <t>W1NDM4EB0RM000053</t>
  </si>
  <si>
    <t>78060020257252</t>
  </si>
  <si>
    <t>GLA220d4M</t>
  </si>
  <si>
    <t>149U-POLAR WHITE</t>
  </si>
  <si>
    <t>105A-LEATHERETTE - BEIGE</t>
  </si>
  <si>
    <t>0482586083</t>
  </si>
  <si>
    <t>H247 GLA 220d 4MATIC</t>
  </si>
  <si>
    <t>Sugesh K</t>
  </si>
  <si>
    <t>Nidhin-24/04</t>
  </si>
  <si>
    <t>VH0000002017</t>
  </si>
  <si>
    <t>W1N4N1FB4SL017301</t>
  </si>
  <si>
    <t>654920V0520059</t>
  </si>
  <si>
    <t>A200</t>
  </si>
  <si>
    <t>149U-polar white</t>
  </si>
  <si>
    <t>0482580688</t>
  </si>
  <si>
    <t>V177 A 200</t>
  </si>
  <si>
    <t>Abdul Rahiman M A</t>
  </si>
  <si>
    <t>Shreenidhi</t>
  </si>
  <si>
    <t>W1K3G8HB5SL010284</t>
  </si>
  <si>
    <t>28281480253833</t>
  </si>
  <si>
    <t>GLA 220d4M AMG Line</t>
  </si>
  <si>
    <t>651A-MICROFIBER - BLACK</t>
  </si>
  <si>
    <t>0482584407</t>
  </si>
  <si>
    <t>H247 GLA 220d 4MATIC AMG Line</t>
  </si>
  <si>
    <t>Rajan KR</t>
  </si>
  <si>
    <t>Basil Poulose</t>
  </si>
  <si>
    <t>W1N4N1FB6SL017137</t>
  </si>
  <si>
    <t>654920V0517303</t>
  </si>
  <si>
    <t>IN2510146328</t>
  </si>
  <si>
    <t>IN2510144993</t>
  </si>
  <si>
    <t>AMG GLC43C</t>
  </si>
  <si>
    <t>0582510256</t>
  </si>
  <si>
    <t>CBU C254 Mercedes-AMG GLC 43 Coupe</t>
  </si>
  <si>
    <t>0482587482</t>
  </si>
  <si>
    <t>0482583833</t>
  </si>
  <si>
    <t>W1NKJ8HB1SF353303</t>
  </si>
  <si>
    <t>W1N4N1FB2SL017572</t>
  </si>
  <si>
    <t>W1KLG0EB4SL004305</t>
  </si>
  <si>
    <t>0482582541</t>
  </si>
  <si>
    <t>Rafeeda B K</t>
  </si>
  <si>
    <t>Nizamudheen</t>
  </si>
  <si>
    <t>W1N4N1FB8SL016927</t>
  </si>
  <si>
    <t>654920V0507277</t>
  </si>
  <si>
    <t>E 450</t>
  </si>
  <si>
    <t>Trnst</t>
  </si>
  <si>
    <t>0582570381</t>
  </si>
  <si>
    <t>V214 E 450 4MATIC</t>
  </si>
  <si>
    <t>Dr. Ruxana K</t>
  </si>
  <si>
    <t>W1KLG6BB4SL005901</t>
  </si>
  <si>
    <t>25683030220555</t>
  </si>
  <si>
    <t>EQB 250+</t>
  </si>
  <si>
    <t>993U-patagonia red</t>
  </si>
  <si>
    <t>ARTICO man-made leather</t>
  </si>
  <si>
    <t>0482511339</t>
  </si>
  <si>
    <t>CBU X243 EQB 250+</t>
  </si>
  <si>
    <t>Sebastian Thomas</t>
  </si>
  <si>
    <t>W1N9M0CB2SN114735</t>
  </si>
  <si>
    <t>78020021516233</t>
  </si>
  <si>
    <t>IN2510125462</t>
  </si>
  <si>
    <t>IN2410353591</t>
  </si>
  <si>
    <t>IN2510149512</t>
  </si>
  <si>
    <t>Pothiyadath Projects Private Limited</t>
  </si>
  <si>
    <t>Fousia</t>
  </si>
  <si>
    <t>X254 GLC 220d 4MATIC</t>
  </si>
  <si>
    <t>104A-BROWN</t>
  </si>
  <si>
    <t>0482584251</t>
  </si>
  <si>
    <t>GLC220d</t>
  </si>
  <si>
    <t>W1NKM0FB3SL009307</t>
  </si>
  <si>
    <t>IN2510149277</t>
  </si>
  <si>
    <t>65482080258311</t>
  </si>
  <si>
    <t>April</t>
  </si>
  <si>
    <t>TL</t>
  </si>
  <si>
    <t>Target</t>
  </si>
  <si>
    <t>Achieved(inc.demo)</t>
  </si>
  <si>
    <t>April %</t>
  </si>
  <si>
    <t>Req.Productivity @1.5</t>
  </si>
  <si>
    <t>May Commitment</t>
  </si>
  <si>
    <t>Thrissur</t>
  </si>
  <si>
    <t>Kottayam+EKM</t>
  </si>
  <si>
    <t>Kozhikode</t>
  </si>
  <si>
    <t>Malappuram</t>
  </si>
  <si>
    <t>Kannur</t>
  </si>
  <si>
    <t>Total</t>
  </si>
  <si>
    <t>BNI</t>
  </si>
  <si>
    <t>Doctor</t>
  </si>
  <si>
    <t>Blue Chip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</si>
</sst>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orpoS"/>
    </font>
    <font>
      <b/>
      <sz val="11"/>
      <name val="CorpoS"/>
    </font>
    <font>
      <sz val="11"/>
      <color theme="1"/>
      <name val="CorpoS"/>
      <family val="2"/>
    </font>
    <font>
      <sz val="11"/>
      <name val="Aptos Narrow"/>
      <family val="2"/>
      <scheme val="minor"/>
    </font>
    <font>
      <sz val="11"/>
      <color theme="1"/>
      <name val="CorpoS"/>
    </font>
    <font>
      <sz val="11"/>
      <name val="CorpoS"/>
      <family val="2"/>
    </font>
    <font>
      <b/>
      <sz val="11"/>
      <color rgb="FF000000"/>
      <name val="Aptos Narrow"/>
      <family val="2"/>
      <scheme val="minor"/>
    </font>
    <font>
      <sz val="1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0" xfId="0" applyFont="1"/>
    <xf numFmtId="0" fontId="6" fillId="0" borderId="3" xfId="0" applyFon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3" xfId="0" quotePrefix="1" applyBorder="1" applyAlignment="1">
      <alignment horizontal="center"/>
    </xf>
    <xf numFmtId="14" fontId="5" fillId="0" borderId="3" xfId="0" applyNumberFormat="1" applyFont="1" applyBorder="1" applyAlignment="1">
      <alignment horizontal="right"/>
    </xf>
    <xf numFmtId="0" fontId="5" fillId="0" borderId="3" xfId="0" applyFont="1" applyBorder="1"/>
    <xf numFmtId="0" fontId="0" fillId="4" borderId="3" xfId="0" applyFill="1" applyBorder="1" applyAlignment="1">
      <alignment horizontal="center"/>
    </xf>
    <xf numFmtId="14" fontId="7" fillId="0" borderId="3" xfId="0" applyNumberFormat="1" applyFont="1" applyBorder="1"/>
    <xf numFmtId="0" fontId="6" fillId="0" borderId="3" xfId="0" applyFont="1" applyBorder="1"/>
    <xf numFmtId="0" fontId="0" fillId="0" borderId="3" xfId="0" applyBorder="1" applyAlignment="1">
      <alignment vertical="top"/>
    </xf>
    <xf numFmtId="0" fontId="0" fillId="0" borderId="3" xfId="0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6" fillId="0" borderId="3" xfId="0" quotePrefix="1" applyFont="1" applyBorder="1"/>
    <xf numFmtId="0" fontId="5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" fontId="1" fillId="0" borderId="3" xfId="0" applyNumberFormat="1" applyFont="1" applyBorder="1" applyAlignment="1">
      <alignment horizontal="left"/>
    </xf>
    <xf numFmtId="0" fontId="0" fillId="0" borderId="3" xfId="0" applyBorder="1" applyAlignment="1">
      <alignment horizontal="center" vertical="top"/>
    </xf>
    <xf numFmtId="0" fontId="10" fillId="0" borderId="3" xfId="0" applyFont="1" applyBorder="1"/>
    <xf numFmtId="14" fontId="5" fillId="0" borderId="5" xfId="0" applyNumberFormat="1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6" fillId="0" borderId="3" xfId="0" applyFont="1" applyBorder="1" applyAlignment="1">
      <alignment horizontal="left"/>
    </xf>
    <xf numFmtId="0" fontId="1" fillId="0" borderId="3" xfId="2" quotePrefix="1" applyBorder="1"/>
    <xf numFmtId="14" fontId="1" fillId="0" borderId="3" xfId="0" applyNumberFormat="1" applyFont="1" applyBorder="1" applyAlignment="1">
      <alignment horizontal="left"/>
    </xf>
    <xf numFmtId="14" fontId="5" fillId="0" borderId="3" xfId="0" applyNumberFormat="1" applyFont="1" applyBorder="1" applyAlignment="1">
      <alignment horizontal="center"/>
    </xf>
    <xf numFmtId="0" fontId="6" fillId="0" borderId="3" xfId="1" applyFont="1" applyBorder="1"/>
    <xf numFmtId="14" fontId="0" fillId="0" borderId="3" xfId="0" applyNumberFormat="1" applyBorder="1" applyAlignment="1">
      <alignment horizontal="center"/>
    </xf>
    <xf numFmtId="14" fontId="0" fillId="0" borderId="3" xfId="0" applyNumberFormat="1" applyBorder="1" applyAlignment="1">
      <alignment horizontal="left" vertical="top"/>
    </xf>
    <xf numFmtId="0" fontId="0" fillId="0" borderId="3" xfId="0" quotePrefix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0" fillId="0" borderId="3" xfId="0" quotePrefix="1" applyBorder="1"/>
    <xf numFmtId="17" fontId="5" fillId="0" borderId="3" xfId="0" applyNumberFormat="1" applyFont="1" applyBorder="1"/>
    <xf numFmtId="17" fontId="0" fillId="0" borderId="3" xfId="0" applyNumberFormat="1" applyBorder="1"/>
    <xf numFmtId="14" fontId="5" fillId="0" borderId="3" xfId="0" applyNumberFormat="1" applyFont="1" applyBorder="1" applyAlignment="1">
      <alignment horizontal="left"/>
    </xf>
    <xf numFmtId="14" fontId="5" fillId="0" borderId="3" xfId="0" applyNumberFormat="1" applyFont="1" applyBorder="1"/>
    <xf numFmtId="0" fontId="0" fillId="0" borderId="3" xfId="0" applyBorder="1" applyAlignment="1">
      <alignment horizontal="left" vertical="top"/>
    </xf>
    <xf numFmtId="0" fontId="0" fillId="5" borderId="3" xfId="0" quotePrefix="1" applyFill="1" applyBorder="1" applyAlignment="1">
      <alignment horizontal="center"/>
    </xf>
    <xf numFmtId="0" fontId="0" fillId="5" borderId="3" xfId="0" applyFill="1" applyBorder="1"/>
    <xf numFmtId="0" fontId="8" fillId="4" borderId="3" xfId="0" applyFont="1" applyFill="1" applyBorder="1" applyAlignment="1">
      <alignment horizontal="center"/>
    </xf>
    <xf numFmtId="14" fontId="0" fillId="0" borderId="3" xfId="0" applyNumberFormat="1" applyBorder="1"/>
    <xf numFmtId="0" fontId="0" fillId="5" borderId="3" xfId="0" applyFill="1" applyBorder="1" applyAlignment="1">
      <alignment horizontal="left"/>
    </xf>
    <xf numFmtId="0" fontId="6" fillId="5" borderId="3" xfId="0" applyFont="1" applyFill="1" applyBorder="1"/>
    <xf numFmtId="0" fontId="0" fillId="5" borderId="3" xfId="0" applyFill="1" applyBorder="1" applyAlignment="1">
      <alignment horizontal="center"/>
    </xf>
    <xf numFmtId="0" fontId="0" fillId="6" borderId="3" xfId="0" quotePrefix="1" applyFill="1" applyBorder="1" applyAlignment="1">
      <alignment horizontal="center"/>
    </xf>
    <xf numFmtId="0" fontId="0" fillId="6" borderId="3" xfId="0" applyFill="1" applyBorder="1"/>
    <xf numFmtId="0" fontId="0" fillId="6" borderId="3" xfId="0" applyFill="1" applyBorder="1" applyAlignment="1">
      <alignment horizontal="left"/>
    </xf>
    <xf numFmtId="0" fontId="0" fillId="6" borderId="3" xfId="0" applyFill="1" applyBorder="1" applyAlignment="1">
      <alignment horizontal="center"/>
    </xf>
    <xf numFmtId="0" fontId="2" fillId="0" borderId="0" xfId="0" applyFont="1"/>
    <xf numFmtId="9" fontId="0" fillId="0" borderId="3" xfId="3" applyFon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2" fillId="0" borderId="3" xfId="0" applyFont="1" applyBorder="1"/>
    <xf numFmtId="9" fontId="2" fillId="0" borderId="3" xfId="3" applyFont="1" applyBorder="1" applyAlignment="1">
      <alignment horizontal="center"/>
    </xf>
    <xf numFmtId="1" fontId="2" fillId="0" borderId="3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4">
    <cellStyle name="Normal" xfId="0" builtinId="0"/>
    <cellStyle name="Normal 4" xfId="2" xr:uid="{EDB4C08D-5B81-4BD0-9CE6-1BF961A2A0CB}"/>
    <cellStyle name="Normal 63" xfId="1" xr:uid="{3F271896-FD0A-41DD-AB89-A88A8BA1F7A9}"/>
    <cellStyle name="Percent" xfId="3" builtinId="5"/>
  </cellStyles>
  <dxfs count="1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3314-CFEC-4178-89A2-6E7C598D8A82}">
  <dimension ref="A1:V39"/>
  <sheetViews>
    <sheetView tabSelected="1" workbookViewId="0">
      <selection activeCell="C6" sqref="C6"/>
    </sheetView>
  </sheetViews>
  <sheetFormatPr defaultRowHeight="15" x14ac:dyDescent="0.25"/>
  <cols>
    <col min="1" max="1" width="6.7109375" customWidth="1"/>
    <col min="2" max="2" width="12.7109375" customWidth="1"/>
    <col min="3" max="3" width="18.28515625" customWidth="1"/>
    <col min="4" max="4" width="19.85546875" customWidth="1"/>
    <col min="6" max="6" width="12.5703125" style="1" customWidth="1"/>
    <col min="7" max="7" width="34.28515625" customWidth="1"/>
    <col min="8" max="8" width="24.140625" customWidth="1"/>
    <col min="9" max="9" width="12.5703125" customWidth="1"/>
    <col min="10" max="10" width="11.28515625" customWidth="1"/>
    <col min="11" max="11" width="18.42578125" bestFit="1" customWidth="1"/>
    <col min="12" max="12" width="14.28515625" bestFit="1" customWidth="1"/>
    <col min="13" max="13" width="11" customWidth="1"/>
    <col min="14" max="14" width="12.7109375" style="1" customWidth="1"/>
    <col min="15" max="15" width="20.85546875" customWidth="1"/>
    <col min="16" max="16" width="16.140625" customWidth="1"/>
    <col min="17" max="17" width="13.140625" bestFit="1" customWidth="1"/>
    <col min="18" max="18" width="12.42578125" bestFit="1" customWidth="1"/>
  </cols>
  <sheetData>
    <row r="1" spans="1:20" ht="18" customHeight="1" x14ac:dyDescent="0.25">
      <c r="F1" s="67" t="s">
        <v>34</v>
      </c>
      <c r="G1" s="67"/>
      <c r="H1" s="67"/>
      <c r="I1" s="68"/>
    </row>
    <row r="2" spans="1:20" x14ac:dyDescent="0.25">
      <c r="A2" s="2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4" t="s">
        <v>5</v>
      </c>
      <c r="G2" s="2" t="s">
        <v>6</v>
      </c>
      <c r="H2" s="2" t="s">
        <v>7</v>
      </c>
      <c r="I2" s="5" t="s">
        <v>8</v>
      </c>
      <c r="J2" s="6" t="s">
        <v>9</v>
      </c>
      <c r="K2" s="5" t="s">
        <v>10</v>
      </c>
      <c r="L2" s="7" t="s">
        <v>11</v>
      </c>
      <c r="M2" s="2" t="s">
        <v>12</v>
      </c>
      <c r="N2" s="8" t="s">
        <v>13</v>
      </c>
      <c r="O2" s="8" t="s">
        <v>14</v>
      </c>
      <c r="P2" s="5" t="s">
        <v>15</v>
      </c>
      <c r="Q2" s="9" t="s">
        <v>16</v>
      </c>
      <c r="R2" s="9" t="s">
        <v>17</v>
      </c>
    </row>
    <row r="3" spans="1:20" s="10" customFormat="1" x14ac:dyDescent="0.25">
      <c r="A3" s="11">
        <v>1</v>
      </c>
      <c r="B3" s="12" t="s">
        <v>24</v>
      </c>
      <c r="C3" s="13" t="s">
        <v>22</v>
      </c>
      <c r="D3" s="13" t="s">
        <v>21</v>
      </c>
      <c r="E3" s="21" t="s">
        <v>18</v>
      </c>
      <c r="F3" s="14" t="s">
        <v>37</v>
      </c>
      <c r="G3" s="13" t="s">
        <v>26</v>
      </c>
      <c r="H3" s="13" t="s">
        <v>38</v>
      </c>
      <c r="I3" s="13" t="s">
        <v>39</v>
      </c>
      <c r="J3" s="15">
        <v>45749</v>
      </c>
      <c r="K3" s="13" t="s">
        <v>40</v>
      </c>
      <c r="L3" s="16" t="s">
        <v>11</v>
      </c>
      <c r="M3" s="17">
        <v>3369444</v>
      </c>
      <c r="N3" s="18">
        <v>45757</v>
      </c>
      <c r="O3" s="19" t="s">
        <v>41</v>
      </c>
      <c r="P3" s="19" t="s">
        <v>42</v>
      </c>
      <c r="Q3" s="19" t="s">
        <v>73</v>
      </c>
      <c r="R3" s="16" t="s">
        <v>216</v>
      </c>
      <c r="S3"/>
    </row>
    <row r="4" spans="1:20" s="10" customFormat="1" x14ac:dyDescent="0.25">
      <c r="A4" s="11">
        <v>2</v>
      </c>
      <c r="B4" s="13" t="s">
        <v>43</v>
      </c>
      <c r="C4" s="13" t="s">
        <v>44</v>
      </c>
      <c r="D4" s="13" t="s">
        <v>45</v>
      </c>
      <c r="E4" s="22" t="s">
        <v>19</v>
      </c>
      <c r="F4" s="14" t="s">
        <v>46</v>
      </c>
      <c r="G4" s="13" t="s">
        <v>47</v>
      </c>
      <c r="H4" s="13" t="s">
        <v>48</v>
      </c>
      <c r="I4" s="13" t="s">
        <v>27</v>
      </c>
      <c r="J4" s="15">
        <v>45300</v>
      </c>
      <c r="K4" s="13" t="s">
        <v>40</v>
      </c>
      <c r="L4" s="16" t="s">
        <v>11</v>
      </c>
      <c r="M4" s="17">
        <v>3042662</v>
      </c>
      <c r="N4" s="18">
        <v>45758</v>
      </c>
      <c r="O4" s="19" t="s">
        <v>49</v>
      </c>
      <c r="P4" s="19" t="s">
        <v>50</v>
      </c>
      <c r="Q4" s="19" t="s">
        <v>74</v>
      </c>
      <c r="R4" s="16"/>
      <c r="S4"/>
    </row>
    <row r="5" spans="1:20" s="10" customFormat="1" x14ac:dyDescent="0.25">
      <c r="A5" s="11">
        <v>3</v>
      </c>
      <c r="B5" s="13" t="s">
        <v>56</v>
      </c>
      <c r="C5" s="13" t="s">
        <v>23</v>
      </c>
      <c r="D5" s="13" t="s">
        <v>25</v>
      </c>
      <c r="E5" s="21" t="s">
        <v>18</v>
      </c>
      <c r="F5" s="14" t="s">
        <v>57</v>
      </c>
      <c r="G5" s="13" t="s">
        <v>58</v>
      </c>
      <c r="H5" s="12" t="s">
        <v>59</v>
      </c>
      <c r="I5" s="12" t="s">
        <v>20</v>
      </c>
      <c r="J5" s="15">
        <v>45755</v>
      </c>
      <c r="K5" s="13" t="s">
        <v>40</v>
      </c>
      <c r="L5" s="16" t="s">
        <v>11</v>
      </c>
      <c r="M5" s="17">
        <v>163303</v>
      </c>
      <c r="N5" s="18">
        <v>45763</v>
      </c>
      <c r="O5" s="19" t="s">
        <v>60</v>
      </c>
      <c r="P5" s="19" t="s">
        <v>61</v>
      </c>
      <c r="Q5" s="19" t="s">
        <v>76</v>
      </c>
      <c r="R5" s="16" t="s">
        <v>216</v>
      </c>
      <c r="S5"/>
    </row>
    <row r="6" spans="1:20" s="10" customFormat="1" x14ac:dyDescent="0.25">
      <c r="A6" s="11">
        <v>4</v>
      </c>
      <c r="B6" s="12" t="s">
        <v>51</v>
      </c>
      <c r="C6" s="13" t="s">
        <v>29</v>
      </c>
      <c r="D6" s="13" t="s">
        <v>21</v>
      </c>
      <c r="E6" s="21" t="s">
        <v>18</v>
      </c>
      <c r="F6" s="14" t="s">
        <v>52</v>
      </c>
      <c r="G6" s="13" t="s">
        <v>53</v>
      </c>
      <c r="H6" s="19" t="s">
        <v>54</v>
      </c>
      <c r="I6" s="13" t="s">
        <v>33</v>
      </c>
      <c r="J6" s="15">
        <v>45762</v>
      </c>
      <c r="K6" s="13" t="s">
        <v>40</v>
      </c>
      <c r="L6" s="16" t="s">
        <v>11</v>
      </c>
      <c r="M6" s="17">
        <v>176836</v>
      </c>
      <c r="N6" s="18">
        <v>45764</v>
      </c>
      <c r="O6" s="19" t="s">
        <v>55</v>
      </c>
      <c r="P6" s="19"/>
      <c r="Q6" s="19" t="s">
        <v>75</v>
      </c>
      <c r="R6" s="16" t="s">
        <v>216</v>
      </c>
      <c r="S6"/>
    </row>
    <row r="7" spans="1:20" s="10" customFormat="1" x14ac:dyDescent="0.25">
      <c r="A7" s="11">
        <v>5</v>
      </c>
      <c r="B7" s="12" t="s">
        <v>24</v>
      </c>
      <c r="C7" s="13" t="s">
        <v>28</v>
      </c>
      <c r="D7" s="13" t="s">
        <v>25</v>
      </c>
      <c r="E7" s="22" t="s">
        <v>19</v>
      </c>
      <c r="F7" s="14" t="s">
        <v>62</v>
      </c>
      <c r="G7" s="13" t="s">
        <v>26</v>
      </c>
      <c r="H7" s="13" t="s">
        <v>63</v>
      </c>
      <c r="I7" s="13" t="s">
        <v>64</v>
      </c>
      <c r="J7" s="15">
        <v>45750</v>
      </c>
      <c r="K7" s="13" t="s">
        <v>40</v>
      </c>
      <c r="L7" s="16" t="s">
        <v>11</v>
      </c>
      <c r="M7" s="17">
        <v>173202</v>
      </c>
      <c r="N7" s="18">
        <v>45766</v>
      </c>
      <c r="O7" s="19" t="s">
        <v>65</v>
      </c>
      <c r="P7" s="19" t="s">
        <v>66</v>
      </c>
      <c r="Q7" s="19" t="s">
        <v>77</v>
      </c>
      <c r="R7" s="16" t="s">
        <v>216</v>
      </c>
      <c r="S7"/>
    </row>
    <row r="8" spans="1:20" s="10" customFormat="1" x14ac:dyDescent="0.25">
      <c r="A8" s="11">
        <v>6</v>
      </c>
      <c r="B8" s="13" t="s">
        <v>67</v>
      </c>
      <c r="C8" s="13" t="s">
        <v>30</v>
      </c>
      <c r="D8" s="13" t="s">
        <v>31</v>
      </c>
      <c r="E8" s="22" t="s">
        <v>19</v>
      </c>
      <c r="F8" s="57" t="s">
        <v>68</v>
      </c>
      <c r="G8" s="13" t="s">
        <v>69</v>
      </c>
      <c r="H8" s="58" t="s">
        <v>70</v>
      </c>
      <c r="I8" s="13" t="s">
        <v>32</v>
      </c>
      <c r="J8" s="15">
        <v>45758</v>
      </c>
      <c r="K8" s="13" t="s">
        <v>40</v>
      </c>
      <c r="L8" s="16" t="s">
        <v>11</v>
      </c>
      <c r="M8" s="17">
        <v>177859</v>
      </c>
      <c r="N8" s="18">
        <v>45768</v>
      </c>
      <c r="O8" s="19" t="s">
        <v>71</v>
      </c>
      <c r="P8" s="19" t="s">
        <v>72</v>
      </c>
      <c r="Q8" s="19" t="s">
        <v>78</v>
      </c>
      <c r="R8" s="16" t="s">
        <v>216</v>
      </c>
      <c r="S8"/>
    </row>
    <row r="9" spans="1:20" s="10" customFormat="1" x14ac:dyDescent="0.25">
      <c r="A9" s="11">
        <v>7</v>
      </c>
      <c r="B9" s="12" t="s">
        <v>79</v>
      </c>
      <c r="C9" s="13" t="s">
        <v>80</v>
      </c>
      <c r="D9" s="13" t="s">
        <v>81</v>
      </c>
      <c r="E9" s="22" t="s">
        <v>19</v>
      </c>
      <c r="F9" s="14" t="s">
        <v>82</v>
      </c>
      <c r="G9" s="13" t="s">
        <v>83</v>
      </c>
      <c r="H9" s="12" t="s">
        <v>84</v>
      </c>
      <c r="I9" s="12" t="s">
        <v>85</v>
      </c>
      <c r="J9" s="15">
        <v>45745</v>
      </c>
      <c r="K9" s="13" t="s">
        <v>40</v>
      </c>
      <c r="L9" s="16" t="s">
        <v>11</v>
      </c>
      <c r="M9" s="17">
        <v>2348265</v>
      </c>
      <c r="N9" s="18">
        <v>45770</v>
      </c>
      <c r="O9" s="19" t="s">
        <v>86</v>
      </c>
      <c r="P9" s="24" t="s">
        <v>87</v>
      </c>
      <c r="Q9" s="19" t="s">
        <v>95</v>
      </c>
      <c r="R9" s="16" t="s">
        <v>217</v>
      </c>
      <c r="S9"/>
    </row>
    <row r="10" spans="1:20" s="10" customFormat="1" x14ac:dyDescent="0.25">
      <c r="A10" s="11">
        <v>8</v>
      </c>
      <c r="B10" s="12" t="s">
        <v>88</v>
      </c>
      <c r="C10" s="13" t="s">
        <v>30</v>
      </c>
      <c r="D10" s="13" t="s">
        <v>31</v>
      </c>
      <c r="E10" s="21" t="s">
        <v>18</v>
      </c>
      <c r="F10" s="57" t="s">
        <v>89</v>
      </c>
      <c r="G10" s="13" t="s">
        <v>90</v>
      </c>
      <c r="H10" s="58" t="s">
        <v>91</v>
      </c>
      <c r="I10" s="13" t="s">
        <v>92</v>
      </c>
      <c r="J10" s="15">
        <v>45759</v>
      </c>
      <c r="K10" s="13" t="s">
        <v>40</v>
      </c>
      <c r="L10" s="16" t="s">
        <v>11</v>
      </c>
      <c r="M10" s="17">
        <v>178152</v>
      </c>
      <c r="N10" s="18">
        <v>45771</v>
      </c>
      <c r="O10" s="19" t="s">
        <v>93</v>
      </c>
      <c r="P10" s="19" t="s">
        <v>94</v>
      </c>
      <c r="Q10" s="19" t="s">
        <v>96</v>
      </c>
      <c r="R10" s="16" t="s">
        <v>216</v>
      </c>
      <c r="S10"/>
    </row>
    <row r="11" spans="1:20" s="10" customFormat="1" x14ac:dyDescent="0.25">
      <c r="A11" s="11">
        <v>9</v>
      </c>
      <c r="B11" s="12" t="s">
        <v>51</v>
      </c>
      <c r="C11" s="13" t="s">
        <v>23</v>
      </c>
      <c r="D11" s="13" t="s">
        <v>25</v>
      </c>
      <c r="E11" s="22" t="s">
        <v>19</v>
      </c>
      <c r="F11" s="14" t="s">
        <v>97</v>
      </c>
      <c r="G11" s="13" t="s">
        <v>98</v>
      </c>
      <c r="H11" s="13" t="s">
        <v>99</v>
      </c>
      <c r="I11" s="13" t="s">
        <v>20</v>
      </c>
      <c r="J11" s="15">
        <v>45763</v>
      </c>
      <c r="K11" s="13" t="s">
        <v>40</v>
      </c>
      <c r="L11" s="16" t="s">
        <v>11</v>
      </c>
      <c r="M11" s="17">
        <v>167716</v>
      </c>
      <c r="N11" s="18">
        <v>45773</v>
      </c>
      <c r="O11" s="19" t="s">
        <v>100</v>
      </c>
      <c r="P11" s="19" t="s">
        <v>101</v>
      </c>
      <c r="Q11" s="19" t="s">
        <v>108</v>
      </c>
      <c r="R11" s="16" t="s">
        <v>216</v>
      </c>
      <c r="S11"/>
    </row>
    <row r="12" spans="1:20" s="10" customFormat="1" x14ac:dyDescent="0.25">
      <c r="A12" s="11">
        <v>10</v>
      </c>
      <c r="B12" s="12" t="s">
        <v>102</v>
      </c>
      <c r="C12" s="13" t="s">
        <v>22</v>
      </c>
      <c r="D12" s="13" t="s">
        <v>21</v>
      </c>
      <c r="E12" s="21" t="s">
        <v>18</v>
      </c>
      <c r="F12" s="14" t="s">
        <v>103</v>
      </c>
      <c r="G12" s="13" t="s">
        <v>104</v>
      </c>
      <c r="H12" s="13" t="s">
        <v>105</v>
      </c>
      <c r="I12" s="13" t="s">
        <v>33</v>
      </c>
      <c r="J12" s="15">
        <v>45758</v>
      </c>
      <c r="K12" s="13" t="s">
        <v>40</v>
      </c>
      <c r="L12" s="16" t="s">
        <v>11</v>
      </c>
      <c r="M12" s="17">
        <v>2757582</v>
      </c>
      <c r="N12" s="18">
        <v>45773</v>
      </c>
      <c r="O12" s="19" t="s">
        <v>106</v>
      </c>
      <c r="P12" s="19" t="s">
        <v>107</v>
      </c>
      <c r="Q12" s="19" t="s">
        <v>109</v>
      </c>
      <c r="R12" s="16" t="s">
        <v>216</v>
      </c>
      <c r="S12"/>
    </row>
    <row r="13" spans="1:20" s="10" customFormat="1" x14ac:dyDescent="0.25">
      <c r="A13" s="11">
        <v>11</v>
      </c>
      <c r="B13" s="12" t="s">
        <v>79</v>
      </c>
      <c r="C13" s="13" t="s">
        <v>29</v>
      </c>
      <c r="D13" s="13" t="s">
        <v>81</v>
      </c>
      <c r="E13" s="21" t="s">
        <v>18</v>
      </c>
      <c r="F13" s="14" t="s">
        <v>110</v>
      </c>
      <c r="G13" s="13" t="s">
        <v>83</v>
      </c>
      <c r="H13" s="13" t="s">
        <v>111</v>
      </c>
      <c r="I13" s="13" t="s">
        <v>85</v>
      </c>
      <c r="J13" s="15">
        <v>45771</v>
      </c>
      <c r="K13" s="13" t="s">
        <v>40</v>
      </c>
      <c r="L13" s="16" t="s">
        <v>11</v>
      </c>
      <c r="M13" s="52">
        <v>2818756</v>
      </c>
      <c r="N13" s="18">
        <v>45776</v>
      </c>
      <c r="O13" s="19" t="s">
        <v>112</v>
      </c>
      <c r="P13" s="19" t="s">
        <v>113</v>
      </c>
      <c r="Q13" s="19" t="s">
        <v>122</v>
      </c>
      <c r="R13" s="16" t="s">
        <v>216</v>
      </c>
      <c r="S13"/>
    </row>
    <row r="14" spans="1:20" x14ac:dyDescent="0.25">
      <c r="A14" s="11">
        <v>12</v>
      </c>
      <c r="B14" s="49" t="s">
        <v>114</v>
      </c>
      <c r="C14" s="13" t="s">
        <v>115</v>
      </c>
      <c r="D14" s="13" t="s">
        <v>116</v>
      </c>
      <c r="E14" s="21" t="s">
        <v>18</v>
      </c>
      <c r="F14" s="50" t="s">
        <v>117</v>
      </c>
      <c r="G14" s="51" t="s">
        <v>118</v>
      </c>
      <c r="H14" s="51" t="s">
        <v>119</v>
      </c>
      <c r="I14" s="51" t="s">
        <v>20</v>
      </c>
      <c r="J14" s="15">
        <v>45719</v>
      </c>
      <c r="K14" s="13" t="s">
        <v>40</v>
      </c>
      <c r="L14" s="16" t="s">
        <v>11</v>
      </c>
      <c r="M14" s="17">
        <v>141170</v>
      </c>
      <c r="N14" s="53">
        <v>45777</v>
      </c>
      <c r="O14" s="19" t="s">
        <v>120</v>
      </c>
      <c r="P14" s="19" t="s">
        <v>121</v>
      </c>
      <c r="Q14" s="19" t="s">
        <v>123</v>
      </c>
      <c r="R14" s="13" t="s">
        <v>218</v>
      </c>
      <c r="T14" s="34"/>
    </row>
    <row r="15" spans="1:20" s="10" customFormat="1" x14ac:dyDescent="0.25">
      <c r="A15" s="11">
        <v>13</v>
      </c>
      <c r="B15" s="33" t="s">
        <v>145</v>
      </c>
      <c r="C15" s="13" t="s">
        <v>146</v>
      </c>
      <c r="D15" s="13" t="s">
        <v>137</v>
      </c>
      <c r="E15" s="22" t="s">
        <v>19</v>
      </c>
      <c r="F15" s="57" t="s">
        <v>147</v>
      </c>
      <c r="G15" s="13" t="s">
        <v>148</v>
      </c>
      <c r="H15" s="13" t="s">
        <v>149</v>
      </c>
      <c r="I15" s="13" t="s">
        <v>150</v>
      </c>
      <c r="J15" s="15">
        <v>45773</v>
      </c>
      <c r="K15" s="13" t="s">
        <v>40</v>
      </c>
      <c r="L15" s="16" t="s">
        <v>11</v>
      </c>
      <c r="M15" s="17">
        <v>184856</v>
      </c>
      <c r="N15" s="53">
        <v>45777</v>
      </c>
      <c r="O15" s="19" t="s">
        <v>151</v>
      </c>
      <c r="P15" s="24" t="s">
        <v>152</v>
      </c>
      <c r="Q15" s="19" t="s">
        <v>161</v>
      </c>
      <c r="R15" s="16" t="s">
        <v>216</v>
      </c>
      <c r="S15"/>
    </row>
    <row r="16" spans="1:20" x14ac:dyDescent="0.25">
      <c r="A16" s="11">
        <v>14</v>
      </c>
      <c r="B16" s="12" t="s">
        <v>153</v>
      </c>
      <c r="C16" s="13" t="s">
        <v>146</v>
      </c>
      <c r="D16" s="13" t="s">
        <v>154</v>
      </c>
      <c r="E16" s="22" t="s">
        <v>19</v>
      </c>
      <c r="F16" s="57" t="s">
        <v>155</v>
      </c>
      <c r="G16" s="13" t="s">
        <v>156</v>
      </c>
      <c r="H16" s="59" t="s">
        <v>157</v>
      </c>
      <c r="I16" s="12" t="s">
        <v>158</v>
      </c>
      <c r="J16" s="15">
        <v>45772</v>
      </c>
      <c r="K16" s="13" t="s">
        <v>40</v>
      </c>
      <c r="L16" s="16" t="s">
        <v>11</v>
      </c>
      <c r="M16" s="17">
        <v>165018</v>
      </c>
      <c r="N16" s="53">
        <v>45777</v>
      </c>
      <c r="O16" s="19" t="s">
        <v>159</v>
      </c>
      <c r="P16" s="19" t="s">
        <v>160</v>
      </c>
      <c r="Q16" s="19" t="s">
        <v>162</v>
      </c>
      <c r="R16" s="16" t="s">
        <v>216</v>
      </c>
    </row>
    <row r="17" spans="1:22" s="10" customFormat="1" x14ac:dyDescent="0.25">
      <c r="A17" s="11">
        <v>15</v>
      </c>
      <c r="B17" s="12" t="s">
        <v>153</v>
      </c>
      <c r="C17" s="13" t="s">
        <v>146</v>
      </c>
      <c r="D17" s="13" t="s">
        <v>154</v>
      </c>
      <c r="E17" s="21" t="s">
        <v>18</v>
      </c>
      <c r="F17" s="57" t="s">
        <v>171</v>
      </c>
      <c r="G17" s="13" t="s">
        <v>156</v>
      </c>
      <c r="H17" s="58" t="s">
        <v>172</v>
      </c>
      <c r="I17" s="13" t="s">
        <v>173</v>
      </c>
      <c r="J17" s="15">
        <v>45757</v>
      </c>
      <c r="K17" s="13" t="s">
        <v>40</v>
      </c>
      <c r="L17" s="16" t="s">
        <v>11</v>
      </c>
      <c r="M17" s="17">
        <v>177527</v>
      </c>
      <c r="N17" s="53">
        <v>45777</v>
      </c>
      <c r="O17" s="19" t="s">
        <v>174</v>
      </c>
      <c r="P17" s="19" t="s">
        <v>175</v>
      </c>
      <c r="Q17" s="19" t="s">
        <v>191</v>
      </c>
      <c r="R17" s="16" t="s">
        <v>216</v>
      </c>
      <c r="S17"/>
    </row>
    <row r="18" spans="1:22" s="10" customFormat="1" x14ac:dyDescent="0.25">
      <c r="A18" s="11">
        <v>16</v>
      </c>
      <c r="B18" s="12" t="s">
        <v>176</v>
      </c>
      <c r="C18" t="s">
        <v>115</v>
      </c>
      <c r="D18" t="s">
        <v>81</v>
      </c>
      <c r="E18" s="21" t="s">
        <v>177</v>
      </c>
      <c r="F18" s="56" t="s">
        <v>178</v>
      </c>
      <c r="G18" s="54" t="s">
        <v>179</v>
      </c>
      <c r="H18" s="54" t="s">
        <v>180</v>
      </c>
      <c r="I18" s="54" t="s">
        <v>39</v>
      </c>
      <c r="J18" s="15">
        <v>45653</v>
      </c>
      <c r="K18" s="13" t="s">
        <v>40</v>
      </c>
      <c r="L18" s="16" t="s">
        <v>11</v>
      </c>
      <c r="M18" s="17">
        <v>2859001</v>
      </c>
      <c r="N18" s="53">
        <v>45777</v>
      </c>
      <c r="O18" s="19" t="s">
        <v>181</v>
      </c>
      <c r="P18" s="19" t="s">
        <v>182</v>
      </c>
      <c r="Q18" s="19" t="s">
        <v>192</v>
      </c>
      <c r="R18" s="16" t="s">
        <v>217</v>
      </c>
      <c r="S18"/>
    </row>
    <row r="19" spans="1:22" x14ac:dyDescent="0.25">
      <c r="A19" s="11">
        <v>17</v>
      </c>
      <c r="B19" s="13" t="s">
        <v>183</v>
      </c>
      <c r="C19" s="13" t="s">
        <v>184</v>
      </c>
      <c r="D19" s="13" t="s">
        <v>185</v>
      </c>
      <c r="E19" s="21" t="s">
        <v>177</v>
      </c>
      <c r="F19" s="50" t="s">
        <v>186</v>
      </c>
      <c r="G19" s="55" t="s">
        <v>187</v>
      </c>
      <c r="H19" s="55" t="s">
        <v>188</v>
      </c>
      <c r="I19" s="51" t="s">
        <v>173</v>
      </c>
      <c r="J19" s="53">
        <v>45776</v>
      </c>
      <c r="K19" s="13" t="s">
        <v>40</v>
      </c>
      <c r="L19" s="16" t="s">
        <v>11</v>
      </c>
      <c r="M19" s="17">
        <v>3178762</v>
      </c>
      <c r="N19" s="53">
        <v>45777</v>
      </c>
      <c r="O19" s="19" t="s">
        <v>189</v>
      </c>
      <c r="P19" s="19" t="s">
        <v>190</v>
      </c>
      <c r="Q19" s="19" t="s">
        <v>193</v>
      </c>
      <c r="R19" s="13" t="s">
        <v>216</v>
      </c>
      <c r="T19" s="34"/>
    </row>
    <row r="20" spans="1:22" s="10" customFormat="1" x14ac:dyDescent="0.25">
      <c r="A20" s="11">
        <v>18</v>
      </c>
      <c r="B20" s="13" t="s">
        <v>199</v>
      </c>
      <c r="C20" s="13" t="s">
        <v>80</v>
      </c>
      <c r="D20" s="13" t="s">
        <v>197</v>
      </c>
      <c r="E20" s="21" t="s">
        <v>177</v>
      </c>
      <c r="F20" s="60" t="s">
        <v>198</v>
      </c>
      <c r="G20" s="54" t="s">
        <v>196</v>
      </c>
      <c r="H20" s="59" t="s">
        <v>194</v>
      </c>
      <c r="I20" s="54" t="s">
        <v>195</v>
      </c>
      <c r="J20" s="53">
        <v>45776</v>
      </c>
      <c r="K20" s="13" t="s">
        <v>40</v>
      </c>
      <c r="L20" s="16" t="s">
        <v>11</v>
      </c>
      <c r="M20" s="17">
        <v>186136</v>
      </c>
      <c r="N20" s="53">
        <v>45777</v>
      </c>
      <c r="O20" s="19" t="s">
        <v>200</v>
      </c>
      <c r="P20" s="24" t="s">
        <v>202</v>
      </c>
      <c r="Q20" s="19" t="s">
        <v>201</v>
      </c>
      <c r="R20" s="16" t="s">
        <v>216</v>
      </c>
      <c r="S20"/>
    </row>
    <row r="21" spans="1:22" s="10" customFormat="1" x14ac:dyDescent="0.25">
      <c r="A21" s="11"/>
      <c r="B21" s="13"/>
      <c r="C21" s="13"/>
      <c r="D21" s="13"/>
      <c r="E21" s="27"/>
      <c r="F21" s="14"/>
      <c r="G21" s="13"/>
      <c r="H21" s="13"/>
      <c r="I21" s="13"/>
      <c r="J21" s="23"/>
      <c r="K21" s="13"/>
      <c r="L21" s="16"/>
      <c r="M21" s="21"/>
      <c r="N21" s="18"/>
      <c r="O21" s="19"/>
      <c r="P21" s="24"/>
      <c r="Q21" s="19"/>
      <c r="R21" s="16"/>
      <c r="S21"/>
    </row>
    <row r="22" spans="1:22" s="10" customFormat="1" x14ac:dyDescent="0.25">
      <c r="A22" s="11"/>
      <c r="B22" s="23"/>
      <c r="C22" s="13"/>
      <c r="D22" s="13"/>
      <c r="E22" s="21"/>
      <c r="F22" s="67" t="s">
        <v>35</v>
      </c>
      <c r="G22" s="67"/>
      <c r="H22" s="67"/>
      <c r="I22" s="68"/>
      <c r="J22" s="15"/>
      <c r="K22" s="13"/>
      <c r="L22" s="16"/>
      <c r="M22" s="21"/>
      <c r="N22" s="18"/>
      <c r="O22" s="19"/>
      <c r="P22" s="19"/>
      <c r="Q22" s="19"/>
      <c r="R22" s="25"/>
      <c r="S22"/>
    </row>
    <row r="23" spans="1:22" s="10" customFormat="1" x14ac:dyDescent="0.25">
      <c r="A23" s="26">
        <v>1</v>
      </c>
      <c r="B23" s="49" t="s">
        <v>163</v>
      </c>
      <c r="C23" s="13">
        <v>2818</v>
      </c>
      <c r="D23" s="13">
        <v>4651</v>
      </c>
      <c r="E23" s="21"/>
      <c r="F23" s="14" t="s">
        <v>164</v>
      </c>
      <c r="G23" s="13" t="s">
        <v>165</v>
      </c>
      <c r="H23" s="13"/>
      <c r="I23" s="13"/>
      <c r="J23" s="23"/>
      <c r="K23" s="16"/>
      <c r="L23" s="13"/>
      <c r="M23" s="32"/>
      <c r="N23" s="21"/>
      <c r="O23" s="13" t="s">
        <v>168</v>
      </c>
      <c r="P23" s="24"/>
      <c r="Q23" s="16"/>
      <c r="R23" s="16"/>
    </row>
    <row r="24" spans="1:22" s="10" customFormat="1" x14ac:dyDescent="0.25">
      <c r="A24" s="26">
        <v>2</v>
      </c>
      <c r="B24" s="33" t="s">
        <v>135</v>
      </c>
      <c r="C24" s="13">
        <v>2149</v>
      </c>
      <c r="D24" s="13">
        <v>4105</v>
      </c>
      <c r="E24" s="21"/>
      <c r="F24" s="14" t="s">
        <v>166</v>
      </c>
      <c r="G24" s="13" t="s">
        <v>139</v>
      </c>
      <c r="H24" s="13"/>
      <c r="I24" s="13"/>
      <c r="J24" s="23"/>
      <c r="K24" s="16"/>
      <c r="L24" s="13"/>
      <c r="M24" s="32"/>
      <c r="N24" s="21"/>
      <c r="O24" s="19" t="s">
        <v>169</v>
      </c>
      <c r="P24" s="24"/>
      <c r="Q24" s="16"/>
      <c r="R24" s="16"/>
    </row>
    <row r="25" spans="1:22" s="10" customFormat="1" x14ac:dyDescent="0.25">
      <c r="A25" s="26">
        <v>3</v>
      </c>
      <c r="B25" s="12" t="s">
        <v>79</v>
      </c>
      <c r="C25" s="13">
        <v>2149</v>
      </c>
      <c r="D25" s="13">
        <v>4125</v>
      </c>
      <c r="E25" s="21"/>
      <c r="F25" s="14" t="s">
        <v>167</v>
      </c>
      <c r="G25" s="13" t="s">
        <v>83</v>
      </c>
      <c r="H25" s="13"/>
      <c r="I25" s="13"/>
      <c r="J25" s="23"/>
      <c r="K25" s="16"/>
      <c r="L25" s="13"/>
      <c r="M25" s="32"/>
      <c r="N25" s="21"/>
      <c r="O25" s="29" t="s">
        <v>170</v>
      </c>
      <c r="P25" s="24"/>
      <c r="Q25" s="19"/>
      <c r="R25" s="25"/>
    </row>
    <row r="26" spans="1:22" x14ac:dyDescent="0.25">
      <c r="A26" s="11"/>
      <c r="B26" s="12"/>
      <c r="C26" s="13"/>
      <c r="D26" s="13"/>
      <c r="E26" s="27"/>
      <c r="F26" s="69" t="s">
        <v>36</v>
      </c>
      <c r="G26" s="70"/>
      <c r="H26" s="70"/>
      <c r="I26" s="71"/>
      <c r="J26" s="15"/>
      <c r="K26" s="12"/>
      <c r="L26" s="16"/>
      <c r="M26" s="28"/>
      <c r="N26" s="18"/>
      <c r="O26" s="19"/>
      <c r="P26" s="19"/>
      <c r="Q26" s="13"/>
      <c r="R26" s="13"/>
      <c r="S26" s="10"/>
      <c r="T26" s="10"/>
      <c r="U26" s="10"/>
      <c r="V26" s="10"/>
    </row>
    <row r="27" spans="1:22" x14ac:dyDescent="0.25">
      <c r="A27" s="26">
        <v>1</v>
      </c>
      <c r="B27" s="49" t="s">
        <v>124</v>
      </c>
      <c r="C27" s="20" t="s">
        <v>125</v>
      </c>
      <c r="D27" s="20" t="s">
        <v>126</v>
      </c>
      <c r="E27" s="22" t="s">
        <v>19</v>
      </c>
      <c r="F27" s="43" t="s">
        <v>127</v>
      </c>
      <c r="G27" s="20" t="s">
        <v>128</v>
      </c>
      <c r="H27" s="13" t="s">
        <v>129</v>
      </c>
      <c r="I27" s="13" t="s">
        <v>130</v>
      </c>
      <c r="J27" s="13" t="s">
        <v>131</v>
      </c>
      <c r="K27" s="13"/>
      <c r="L27" s="20" t="s">
        <v>132</v>
      </c>
      <c r="M27" s="41">
        <v>45563</v>
      </c>
      <c r="N27" s="21">
        <f ca="1">TODAY()-M27</f>
        <v>258</v>
      </c>
      <c r="O27" s="20" t="s">
        <v>133</v>
      </c>
      <c r="P27" s="19" t="s">
        <v>134</v>
      </c>
      <c r="Q27" s="38"/>
      <c r="R27" s="13"/>
      <c r="S27" s="10"/>
      <c r="T27" s="10"/>
      <c r="U27" s="10"/>
    </row>
    <row r="28" spans="1:22" x14ac:dyDescent="0.25">
      <c r="A28" s="26">
        <v>2</v>
      </c>
      <c r="B28" s="33" t="s">
        <v>135</v>
      </c>
      <c r="C28" s="13" t="s">
        <v>136</v>
      </c>
      <c r="D28" s="20" t="s">
        <v>137</v>
      </c>
      <c r="E28" s="22" t="s">
        <v>19</v>
      </c>
      <c r="F28" s="14" t="s">
        <v>138</v>
      </c>
      <c r="G28" s="12" t="s">
        <v>139</v>
      </c>
      <c r="H28" s="13" t="s">
        <v>140</v>
      </c>
      <c r="I28" s="13" t="s">
        <v>141</v>
      </c>
      <c r="J28" s="13" t="s">
        <v>131</v>
      </c>
      <c r="K28" s="53">
        <f>M28+90</f>
        <v>45811</v>
      </c>
      <c r="L28" s="13" t="s">
        <v>142</v>
      </c>
      <c r="M28" s="32">
        <v>45721</v>
      </c>
      <c r="N28" s="21">
        <f ca="1">TODAY()-M28</f>
        <v>100</v>
      </c>
      <c r="O28" s="29" t="s">
        <v>143</v>
      </c>
      <c r="P28" s="19" t="s">
        <v>144</v>
      </c>
      <c r="Q28" s="40"/>
      <c r="R28" s="13"/>
      <c r="S28" s="10"/>
      <c r="T28" s="10"/>
      <c r="U28" s="10"/>
    </row>
    <row r="29" spans="1:22" x14ac:dyDescent="0.25">
      <c r="A29" s="26"/>
      <c r="B29" s="33"/>
      <c r="C29" s="20"/>
      <c r="D29" s="20"/>
      <c r="E29" s="27"/>
      <c r="F29" s="30"/>
      <c r="G29" s="20"/>
      <c r="H29" s="13"/>
      <c r="I29" s="13"/>
      <c r="J29" s="13"/>
      <c r="K29" s="13"/>
      <c r="L29" s="13"/>
      <c r="M29" s="41"/>
      <c r="N29" s="21"/>
      <c r="O29" s="29"/>
      <c r="P29" s="29"/>
      <c r="Q29" s="38"/>
      <c r="R29" s="13"/>
      <c r="S29" s="10"/>
      <c r="T29" s="10"/>
      <c r="U29" s="10"/>
    </row>
    <row r="30" spans="1:22" x14ac:dyDescent="0.25">
      <c r="A30" s="26"/>
      <c r="B30" s="21"/>
      <c r="C30" s="13"/>
      <c r="D30" s="13"/>
      <c r="E30" s="27"/>
      <c r="F30" s="42"/>
      <c r="G30" s="20"/>
      <c r="H30" s="13"/>
      <c r="I30" s="13"/>
      <c r="J30" s="13"/>
      <c r="K30" s="16"/>
      <c r="L30" s="20"/>
      <c r="M30" s="41"/>
      <c r="N30" s="21"/>
      <c r="O30" s="29"/>
      <c r="P30" s="29"/>
      <c r="Q30" s="40"/>
      <c r="R30" s="13"/>
      <c r="S30" s="10"/>
      <c r="T30" s="10"/>
      <c r="U30" s="10"/>
    </row>
    <row r="31" spans="1:22" x14ac:dyDescent="0.25">
      <c r="A31" s="26"/>
      <c r="B31" s="30"/>
      <c r="C31" s="20"/>
      <c r="D31" s="20"/>
      <c r="E31" s="21"/>
      <c r="F31" s="43"/>
      <c r="G31" s="20"/>
      <c r="H31" s="13"/>
      <c r="I31" s="13"/>
      <c r="J31" s="13"/>
      <c r="K31" s="13"/>
      <c r="L31" s="20"/>
      <c r="M31" s="41"/>
      <c r="N31" s="21"/>
      <c r="O31" s="20"/>
      <c r="P31" s="20"/>
      <c r="Q31" s="38"/>
      <c r="R31" s="16"/>
      <c r="S31" s="10"/>
      <c r="T31" s="10"/>
      <c r="U31" s="10"/>
    </row>
    <row r="32" spans="1:22" x14ac:dyDescent="0.25">
      <c r="A32" s="26"/>
      <c r="B32" s="30"/>
      <c r="C32" s="13"/>
      <c r="D32" s="20"/>
      <c r="E32" s="27"/>
      <c r="F32" s="14"/>
      <c r="G32" s="13"/>
      <c r="H32" s="31"/>
      <c r="I32" s="31"/>
      <c r="J32" s="13"/>
      <c r="K32" s="13"/>
      <c r="L32" s="20"/>
      <c r="M32" s="41"/>
      <c r="N32" s="21"/>
      <c r="O32" s="13"/>
      <c r="P32" s="44"/>
      <c r="Q32" s="38"/>
      <c r="R32" s="13"/>
      <c r="S32" s="13"/>
      <c r="T32" s="45"/>
      <c r="U32" s="13"/>
    </row>
    <row r="33" spans="1:21" x14ac:dyDescent="0.25">
      <c r="A33" s="26"/>
      <c r="B33" s="25"/>
      <c r="C33" s="39"/>
      <c r="D33" s="12"/>
      <c r="E33" s="27"/>
      <c r="F33" s="14"/>
      <c r="G33" s="13"/>
      <c r="H33" s="12"/>
      <c r="I33" s="12"/>
      <c r="J33" s="13"/>
      <c r="K33" s="13"/>
      <c r="L33" s="36"/>
      <c r="M33" s="37"/>
      <c r="N33" s="21"/>
      <c r="O33" s="29"/>
      <c r="P33" s="29"/>
      <c r="Q33" s="38"/>
      <c r="R33" s="13"/>
      <c r="S33" s="13"/>
      <c r="T33" s="46"/>
      <c r="U33" s="13"/>
    </row>
    <row r="34" spans="1:21" x14ac:dyDescent="0.25">
      <c r="A34" s="26"/>
      <c r="B34" s="25"/>
      <c r="C34" s="35"/>
      <c r="D34" s="13"/>
      <c r="E34" s="27"/>
      <c r="F34" s="14"/>
      <c r="G34" s="13"/>
      <c r="H34" s="13"/>
      <c r="I34" s="13"/>
      <c r="J34" s="47"/>
      <c r="K34" s="13"/>
      <c r="L34" s="36"/>
      <c r="M34" s="37"/>
      <c r="N34" s="21"/>
      <c r="O34" s="29"/>
      <c r="P34" s="29"/>
      <c r="Q34" s="48"/>
      <c r="R34" s="13"/>
      <c r="S34" s="10"/>
      <c r="T34" s="10"/>
      <c r="U34" s="10"/>
    </row>
    <row r="35" spans="1:21" x14ac:dyDescent="0.25">
      <c r="A35" s="26"/>
      <c r="B35" s="30"/>
      <c r="C35" s="20"/>
      <c r="D35" s="20"/>
      <c r="E35" s="21"/>
      <c r="F35" s="43"/>
      <c r="G35" s="20"/>
      <c r="H35" s="13"/>
      <c r="I35" s="13"/>
      <c r="J35" s="13"/>
      <c r="K35" s="13"/>
      <c r="L35" s="20"/>
      <c r="M35" s="41"/>
      <c r="N35" s="21"/>
      <c r="O35" s="29"/>
      <c r="P35" s="29"/>
      <c r="Q35" s="13"/>
      <c r="R35" s="13"/>
      <c r="S35" s="10"/>
      <c r="T35" s="10"/>
      <c r="U35" s="10"/>
    </row>
    <row r="36" spans="1:21" x14ac:dyDescent="0.25">
      <c r="S36" s="10"/>
      <c r="T36" s="10"/>
      <c r="U36" s="10"/>
    </row>
    <row r="37" spans="1:21" x14ac:dyDescent="0.25">
      <c r="S37" s="10"/>
      <c r="T37" s="10"/>
      <c r="U37" s="10"/>
    </row>
    <row r="38" spans="1:21" x14ac:dyDescent="0.25">
      <c r="S38" s="10"/>
      <c r="T38" s="10"/>
      <c r="U38" s="10"/>
    </row>
    <row r="39" spans="1:21" x14ac:dyDescent="0.25">
      <c r="S39" s="10"/>
      <c r="T39" s="10"/>
      <c r="U39" s="10"/>
    </row>
  </sheetData>
  <autoFilter ref="A2:AI33" xr:uid="{275D3314-CFEC-4178-89A2-6E7C598D8A82}"/>
  <mergeCells count="3">
    <mergeCell ref="F1:I1"/>
    <mergeCell ref="F22:I22"/>
    <mergeCell ref="F26:I26"/>
  </mergeCells>
  <conditionalFormatting sqref="F3">
    <cfRule type="duplicateValues" dxfId="135" priority="99"/>
    <cfRule type="duplicateValues" dxfId="134" priority="100"/>
  </conditionalFormatting>
  <conditionalFormatting sqref="F4">
    <cfRule type="duplicateValues" dxfId="133" priority="95"/>
    <cfRule type="duplicateValues" dxfId="132" priority="96"/>
  </conditionalFormatting>
  <conditionalFormatting sqref="F5">
    <cfRule type="duplicateValues" dxfId="131" priority="88"/>
    <cfRule type="duplicateValues" dxfId="130" priority="87"/>
  </conditionalFormatting>
  <conditionalFormatting sqref="F6">
    <cfRule type="duplicateValues" dxfId="129" priority="92"/>
    <cfRule type="duplicateValues" dxfId="128" priority="91"/>
  </conditionalFormatting>
  <conditionalFormatting sqref="F7">
    <cfRule type="duplicateValues" dxfId="127" priority="83"/>
    <cfRule type="duplicateValues" dxfId="126" priority="84"/>
  </conditionalFormatting>
  <conditionalFormatting sqref="F8">
    <cfRule type="duplicateValues" dxfId="125" priority="80"/>
    <cfRule type="duplicateValues" dxfId="124" priority="79"/>
  </conditionalFormatting>
  <conditionalFormatting sqref="F9">
    <cfRule type="duplicateValues" dxfId="123" priority="58"/>
    <cfRule type="duplicateValues" dxfId="122" priority="59"/>
  </conditionalFormatting>
  <conditionalFormatting sqref="F10">
    <cfRule type="duplicateValues" dxfId="121" priority="54"/>
    <cfRule type="duplicateValues" dxfId="120" priority="55"/>
  </conditionalFormatting>
  <conditionalFormatting sqref="F11">
    <cfRule type="duplicateValues" dxfId="119" priority="48"/>
    <cfRule type="duplicateValues" dxfId="118" priority="47"/>
  </conditionalFormatting>
  <conditionalFormatting sqref="F12">
    <cfRule type="duplicateValues" dxfId="117" priority="43"/>
    <cfRule type="duplicateValues" dxfId="116" priority="44"/>
  </conditionalFormatting>
  <conditionalFormatting sqref="F13">
    <cfRule type="duplicateValues" dxfId="115" priority="40"/>
    <cfRule type="duplicateValues" dxfId="114" priority="39"/>
  </conditionalFormatting>
  <conditionalFormatting sqref="F14">
    <cfRule type="duplicateValues" dxfId="113" priority="36"/>
    <cfRule type="duplicateValues" dxfId="112" priority="35"/>
  </conditionalFormatting>
  <conditionalFormatting sqref="F15">
    <cfRule type="duplicateValues" dxfId="111" priority="19"/>
    <cfRule type="duplicateValues" dxfId="110" priority="18"/>
  </conditionalFormatting>
  <conditionalFormatting sqref="F16">
    <cfRule type="duplicateValues" dxfId="109" priority="15"/>
    <cfRule type="duplicateValues" dxfId="108" priority="14"/>
  </conditionalFormatting>
  <conditionalFormatting sqref="F17:F18">
    <cfRule type="duplicateValues" dxfId="107" priority="8"/>
    <cfRule type="duplicateValues" dxfId="106" priority="9"/>
  </conditionalFormatting>
  <conditionalFormatting sqref="F20">
    <cfRule type="duplicateValues" dxfId="105" priority="2"/>
    <cfRule type="duplicateValues" dxfId="104" priority="1"/>
  </conditionalFormatting>
  <conditionalFormatting sqref="F21">
    <cfRule type="duplicateValues" dxfId="103" priority="109"/>
    <cfRule type="duplicateValues" dxfId="102" priority="108"/>
  </conditionalFormatting>
  <conditionalFormatting sqref="F23:F25">
    <cfRule type="duplicateValues" dxfId="101" priority="13"/>
    <cfRule type="duplicateValues" dxfId="100" priority="12"/>
  </conditionalFormatting>
  <conditionalFormatting sqref="F27">
    <cfRule type="duplicateValues" dxfId="99" priority="28"/>
  </conditionalFormatting>
  <conditionalFormatting sqref="F28">
    <cfRule type="duplicateValues" dxfId="98" priority="27"/>
    <cfRule type="duplicateValues" dxfId="97" priority="26"/>
  </conditionalFormatting>
  <conditionalFormatting sqref="F29">
    <cfRule type="duplicateValues" dxfId="96" priority="248"/>
    <cfRule type="duplicateValues" dxfId="95" priority="247"/>
  </conditionalFormatting>
  <conditionalFormatting sqref="F30">
    <cfRule type="duplicateValues" dxfId="94" priority="155"/>
    <cfRule type="duplicateValues" dxfId="93" priority="154"/>
  </conditionalFormatting>
  <conditionalFormatting sqref="F31">
    <cfRule type="duplicateValues" dxfId="92" priority="153"/>
  </conditionalFormatting>
  <conditionalFormatting sqref="F32">
    <cfRule type="duplicateValues" dxfId="91" priority="125"/>
  </conditionalFormatting>
  <conditionalFormatting sqref="F33">
    <cfRule type="duplicateValues" dxfId="90" priority="127"/>
    <cfRule type="duplicateValues" dxfId="89" priority="126"/>
  </conditionalFormatting>
  <conditionalFormatting sqref="F34">
    <cfRule type="duplicateValues" dxfId="88" priority="557"/>
    <cfRule type="duplicateValues" dxfId="87" priority="556"/>
  </conditionalFormatting>
  <conditionalFormatting sqref="F34:F1048576 F22 F1:F2 F29 F26">
    <cfRule type="duplicateValues" dxfId="86" priority="223"/>
  </conditionalFormatting>
  <conditionalFormatting sqref="F35">
    <cfRule type="duplicateValues" dxfId="85" priority="558"/>
  </conditionalFormatting>
  <conditionalFormatting sqref="F36:F1048576 F2">
    <cfRule type="duplicateValues" dxfId="84" priority="583"/>
  </conditionalFormatting>
  <conditionalFormatting sqref="F36:F1048576 F26 F1:F2 F22">
    <cfRule type="duplicateValues" dxfId="83" priority="579"/>
  </conditionalFormatting>
  <conditionalFormatting sqref="O24">
    <cfRule type="duplicateValues" dxfId="82" priority="10"/>
    <cfRule type="duplicateValues" dxfId="81" priority="11"/>
  </conditionalFormatting>
  <conditionalFormatting sqref="O3:P3">
    <cfRule type="duplicateValues" dxfId="80" priority="101"/>
    <cfRule type="duplicateValues" dxfId="79" priority="102"/>
  </conditionalFormatting>
  <conditionalFormatting sqref="O4:P4">
    <cfRule type="duplicateValues" dxfId="78" priority="98"/>
    <cfRule type="duplicateValues" dxfId="77" priority="97"/>
  </conditionalFormatting>
  <conditionalFormatting sqref="O5:P5">
    <cfRule type="duplicateValues" dxfId="76" priority="90"/>
    <cfRule type="duplicateValues" dxfId="75" priority="89"/>
  </conditionalFormatting>
  <conditionalFormatting sqref="O6:P6">
    <cfRule type="duplicateValues" dxfId="74" priority="94"/>
    <cfRule type="duplicateValues" dxfId="73" priority="93"/>
  </conditionalFormatting>
  <conditionalFormatting sqref="O7:P7">
    <cfRule type="duplicateValues" dxfId="72" priority="86"/>
    <cfRule type="duplicateValues" dxfId="71" priority="85"/>
  </conditionalFormatting>
  <conditionalFormatting sqref="O8:P8">
    <cfRule type="duplicateValues" dxfId="70" priority="81"/>
    <cfRule type="duplicateValues" dxfId="69" priority="82"/>
  </conditionalFormatting>
  <conditionalFormatting sqref="O9:P9">
    <cfRule type="duplicateValues" dxfId="68" priority="61"/>
    <cfRule type="duplicateValues" dxfId="67" priority="60"/>
  </conditionalFormatting>
  <conditionalFormatting sqref="O10:P10">
    <cfRule type="duplicateValues" dxfId="66" priority="57"/>
    <cfRule type="duplicateValues" dxfId="65" priority="56"/>
  </conditionalFormatting>
  <conditionalFormatting sqref="O11:P11">
    <cfRule type="duplicateValues" dxfId="64" priority="50"/>
    <cfRule type="duplicateValues" dxfId="63" priority="49"/>
  </conditionalFormatting>
  <conditionalFormatting sqref="O12:P12">
    <cfRule type="duplicateValues" dxfId="62" priority="45"/>
    <cfRule type="duplicateValues" dxfId="61" priority="46"/>
  </conditionalFormatting>
  <conditionalFormatting sqref="O13:P13">
    <cfRule type="duplicateValues" dxfId="60" priority="42"/>
    <cfRule type="duplicateValues" dxfId="59" priority="41"/>
  </conditionalFormatting>
  <conditionalFormatting sqref="O14:P14">
    <cfRule type="duplicateValues" dxfId="58" priority="38"/>
    <cfRule type="duplicateValues" dxfId="57" priority="37"/>
  </conditionalFormatting>
  <conditionalFormatting sqref="O15:P15">
    <cfRule type="duplicateValues" dxfId="56" priority="21"/>
    <cfRule type="duplicateValues" dxfId="55" priority="20"/>
  </conditionalFormatting>
  <conditionalFormatting sqref="O16:P16">
    <cfRule type="duplicateValues" dxfId="54" priority="17"/>
    <cfRule type="duplicateValues" dxfId="53" priority="16"/>
  </conditionalFormatting>
  <conditionalFormatting sqref="O17:P19">
    <cfRule type="duplicateValues" dxfId="52" priority="7"/>
    <cfRule type="duplicateValues" dxfId="51" priority="6"/>
  </conditionalFormatting>
  <conditionalFormatting sqref="O20:P20">
    <cfRule type="duplicateValues" dxfId="50" priority="111"/>
    <cfRule type="duplicateValues" dxfId="49" priority="110"/>
  </conditionalFormatting>
  <conditionalFormatting sqref="O21:P21">
    <cfRule type="duplicateValues" dxfId="48" priority="107"/>
    <cfRule type="duplicateValues" dxfId="47" priority="106"/>
  </conditionalFormatting>
  <conditionalFormatting sqref="O22:P22">
    <cfRule type="duplicateValues" dxfId="46" priority="580"/>
    <cfRule type="duplicateValues" dxfId="45" priority="581"/>
  </conditionalFormatting>
  <conditionalFormatting sqref="O26:P26">
    <cfRule type="duplicateValues" dxfId="44" priority="582"/>
  </conditionalFormatting>
  <conditionalFormatting sqref="P23:P25">
    <cfRule type="duplicateValues" dxfId="43" priority="593"/>
    <cfRule type="duplicateValues" dxfId="42" priority="592"/>
  </conditionalFormatting>
  <conditionalFormatting sqref="P27">
    <cfRule type="duplicateValues" dxfId="41" priority="23"/>
    <cfRule type="duplicateValues" dxfId="40" priority="22"/>
  </conditionalFormatting>
  <conditionalFormatting sqref="P28">
    <cfRule type="duplicateValues" dxfId="39" priority="24"/>
    <cfRule type="duplicateValues" dxfId="38" priority="25"/>
  </conditionalFormatting>
  <conditionalFormatting sqref="Q3">
    <cfRule type="duplicateValues" dxfId="37" priority="78"/>
    <cfRule type="duplicateValues" dxfId="36" priority="76"/>
    <cfRule type="duplicateValues" dxfId="35" priority="77"/>
  </conditionalFormatting>
  <conditionalFormatting sqref="Q4">
    <cfRule type="duplicateValues" dxfId="34" priority="75"/>
    <cfRule type="duplicateValues" dxfId="33" priority="74"/>
    <cfRule type="duplicateValues" dxfId="32" priority="73"/>
  </conditionalFormatting>
  <conditionalFormatting sqref="Q5">
    <cfRule type="duplicateValues" dxfId="31" priority="69"/>
    <cfRule type="duplicateValues" dxfId="30" priority="68"/>
  </conditionalFormatting>
  <conditionalFormatting sqref="Q6">
    <cfRule type="duplicateValues" dxfId="29" priority="72"/>
    <cfRule type="duplicateValues" dxfId="28" priority="71"/>
    <cfRule type="duplicateValues" dxfId="27" priority="70"/>
  </conditionalFormatting>
  <conditionalFormatting sqref="Q7">
    <cfRule type="duplicateValues" dxfId="26" priority="65"/>
    <cfRule type="duplicateValues" dxfId="25" priority="66"/>
    <cfRule type="duplicateValues" dxfId="24" priority="67"/>
  </conditionalFormatting>
  <conditionalFormatting sqref="Q8">
    <cfRule type="duplicateValues" dxfId="23" priority="63"/>
    <cfRule type="duplicateValues" dxfId="22" priority="62"/>
    <cfRule type="duplicateValues" dxfId="21" priority="64"/>
  </conditionalFormatting>
  <conditionalFormatting sqref="Q10">
    <cfRule type="duplicateValues" dxfId="20" priority="52"/>
    <cfRule type="duplicateValues" dxfId="19" priority="53"/>
    <cfRule type="duplicateValues" dxfId="18" priority="51"/>
  </conditionalFormatting>
  <conditionalFormatting sqref="Q13">
    <cfRule type="duplicateValues" dxfId="17" priority="33"/>
    <cfRule type="duplicateValues" dxfId="16" priority="32"/>
    <cfRule type="duplicateValues" dxfId="15" priority="34"/>
  </conditionalFormatting>
  <conditionalFormatting sqref="Q14">
    <cfRule type="duplicateValues" dxfId="14" priority="31"/>
    <cfRule type="duplicateValues" dxfId="13" priority="30"/>
    <cfRule type="duplicateValues" dxfId="12" priority="29"/>
  </conditionalFormatting>
  <conditionalFormatting sqref="Q19">
    <cfRule type="duplicateValues" dxfId="11" priority="4"/>
    <cfRule type="duplicateValues" dxfId="10" priority="5"/>
    <cfRule type="duplicateValues" dxfId="9" priority="3"/>
  </conditionalFormatting>
  <conditionalFormatting sqref="Q21">
    <cfRule type="duplicateValues" dxfId="8" priority="103"/>
    <cfRule type="duplicateValues" dxfId="7" priority="104"/>
    <cfRule type="duplicateValues" dxfId="6" priority="105"/>
  </conditionalFormatting>
  <conditionalFormatting sqref="Q22">
    <cfRule type="duplicateValues" dxfId="5" priority="576"/>
    <cfRule type="duplicateValues" dxfId="4" priority="577"/>
    <cfRule type="duplicateValues" dxfId="3" priority="578"/>
  </conditionalFormatting>
  <conditionalFormatting sqref="Q25">
    <cfRule type="duplicateValues" dxfId="2" priority="594"/>
    <cfRule type="duplicateValues" dxfId="1" priority="595"/>
    <cfRule type="duplicateValues" dxfId="0" priority="59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0C99F-08BE-4535-8719-D0EA8ACF1DB7}">
  <dimension ref="B2:H9"/>
  <sheetViews>
    <sheetView workbookViewId="0">
      <selection activeCell="D6" sqref="D6"/>
    </sheetView>
  </sheetViews>
  <sheetFormatPr defaultRowHeight="15" x14ac:dyDescent="0.25"/>
  <cols>
    <col min="2" max="2" width="14.140625" bestFit="1" customWidth="1"/>
    <col min="5" max="5" width="19.42578125" bestFit="1" customWidth="1"/>
    <col min="7" max="7" width="20.85546875" bestFit="1" customWidth="1"/>
    <col min="8" max="8" width="17.28515625" bestFit="1" customWidth="1"/>
  </cols>
  <sheetData>
    <row r="2" spans="2:8" x14ac:dyDescent="0.25">
      <c r="B2" s="61" t="s">
        <v>203</v>
      </c>
      <c r="G2" s="1"/>
      <c r="H2" s="1"/>
    </row>
    <row r="3" spans="2:8" x14ac:dyDescent="0.25">
      <c r="B3" s="9" t="s">
        <v>204</v>
      </c>
      <c r="C3" s="9" t="s">
        <v>8</v>
      </c>
      <c r="D3" s="9" t="s">
        <v>205</v>
      </c>
      <c r="E3" s="9" t="s">
        <v>206</v>
      </c>
      <c r="F3" s="9" t="s">
        <v>207</v>
      </c>
      <c r="G3" s="9" t="s">
        <v>208</v>
      </c>
      <c r="H3" s="9" t="s">
        <v>209</v>
      </c>
    </row>
    <row r="4" spans="2:8" x14ac:dyDescent="0.25">
      <c r="B4" s="13" t="s">
        <v>210</v>
      </c>
      <c r="C4" s="21">
        <v>7</v>
      </c>
      <c r="D4" s="21">
        <v>6</v>
      </c>
      <c r="E4" s="21">
        <v>3</v>
      </c>
      <c r="F4" s="62">
        <f>E4/D4</f>
        <v>0.5</v>
      </c>
      <c r="G4" s="63">
        <f>C4*1.5</f>
        <v>10.5</v>
      </c>
      <c r="H4" s="21">
        <v>7</v>
      </c>
    </row>
    <row r="5" spans="2:8" x14ac:dyDescent="0.25">
      <c r="B5" s="13" t="s">
        <v>211</v>
      </c>
      <c r="C5" s="21">
        <v>6</v>
      </c>
      <c r="D5" s="21">
        <v>5</v>
      </c>
      <c r="E5" s="21">
        <v>3</v>
      </c>
      <c r="F5" s="62">
        <f t="shared" ref="F5:F9" si="0">E5/D5</f>
        <v>0.6</v>
      </c>
      <c r="G5" s="63">
        <f t="shared" ref="G5:G8" si="1">C5*1.5</f>
        <v>9</v>
      </c>
      <c r="H5" s="21">
        <v>6</v>
      </c>
    </row>
    <row r="6" spans="2:8" x14ac:dyDescent="0.25">
      <c r="B6" s="13" t="s">
        <v>212</v>
      </c>
      <c r="C6" s="21">
        <v>5</v>
      </c>
      <c r="D6" s="21">
        <v>5</v>
      </c>
      <c r="E6" s="21">
        <v>3</v>
      </c>
      <c r="F6" s="62">
        <f t="shared" si="0"/>
        <v>0.6</v>
      </c>
      <c r="G6" s="63">
        <f t="shared" si="1"/>
        <v>7.5</v>
      </c>
      <c r="H6" s="21">
        <v>6</v>
      </c>
    </row>
    <row r="7" spans="2:8" x14ac:dyDescent="0.25">
      <c r="B7" s="13" t="s">
        <v>213</v>
      </c>
      <c r="C7" s="21">
        <v>4</v>
      </c>
      <c r="D7" s="21">
        <v>5</v>
      </c>
      <c r="E7" s="21">
        <v>4</v>
      </c>
      <c r="F7" s="62">
        <f t="shared" si="0"/>
        <v>0.8</v>
      </c>
      <c r="G7" s="63">
        <f t="shared" si="1"/>
        <v>6</v>
      </c>
      <c r="H7" s="21">
        <v>5</v>
      </c>
    </row>
    <row r="8" spans="2:8" x14ac:dyDescent="0.25">
      <c r="B8" s="13" t="s">
        <v>214</v>
      </c>
      <c r="C8" s="21">
        <v>5</v>
      </c>
      <c r="D8" s="21">
        <v>5</v>
      </c>
      <c r="E8" s="21">
        <v>7</v>
      </c>
      <c r="F8" s="62">
        <f t="shared" si="0"/>
        <v>1.4</v>
      </c>
      <c r="G8" s="63">
        <f t="shared" si="1"/>
        <v>7.5</v>
      </c>
      <c r="H8" s="21">
        <v>5</v>
      </c>
    </row>
    <row r="9" spans="2:8" x14ac:dyDescent="0.25">
      <c r="B9" s="64" t="s">
        <v>215</v>
      </c>
      <c r="C9" s="9">
        <f>SUM(C4:C8)</f>
        <v>27</v>
      </c>
      <c r="D9" s="9">
        <f t="shared" ref="D9:E9" si="2">SUM(D4:D8)</f>
        <v>26</v>
      </c>
      <c r="E9" s="9">
        <f t="shared" si="2"/>
        <v>20</v>
      </c>
      <c r="F9" s="65">
        <f t="shared" si="0"/>
        <v>0.76923076923076927</v>
      </c>
      <c r="G9" s="66">
        <f t="shared" ref="G9:H9" si="3">SUM(G4:G8)</f>
        <v>40.5</v>
      </c>
      <c r="H9" s="9">
        <f t="shared" si="3"/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admin5</dc:creator>
  <cp:lastModifiedBy>admin5</cp:lastModifiedBy>
  <dcterms:created xsi:type="dcterms:W3CDTF">2025-02-18T11:14:00Z</dcterms:created>
  <dcterms:modified xsi:type="dcterms:W3CDTF">2025-06-13T07:21:11Z</dcterms:modified>
</cp:coreProperties>
</file>