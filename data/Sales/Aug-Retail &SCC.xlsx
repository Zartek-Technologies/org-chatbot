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raj\Desktop\"/>
    </mc:Choice>
  </mc:AlternateContent>
  <xr:revisionPtr revIDLastSave="0" documentId="13_ncr:1_{68AB30AF-8493-422F-955D-C9BE06B57CE0}" xr6:coauthVersionLast="47" xr6:coauthVersionMax="47" xr10:uidLastSave="{00000000-0000-0000-0000-000000000000}"/>
  <bookViews>
    <workbookView xWindow="-120" yWindow="-120" windowWidth="20730" windowHeight="11040" xr2:uid="{98154F3D-FF40-45F4-9CB6-FFB42725F521}"/>
  </bookViews>
  <sheets>
    <sheet name="Sheet1" sheetId="1" r:id="rId1"/>
  </sheets>
  <definedNames>
    <definedName name="_xlnm._FilterDatabase" localSheetId="0" hidden="1">Sheet1!$A$2:$V$38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0" i="1" l="1"/>
  <c r="Q31" i="1"/>
  <c r="Q32" i="1"/>
  <c r="Q29" i="1"/>
  <c r="N31" i="1" l="1"/>
  <c r="N29" i="1" l="1"/>
  <c r="N30" i="1"/>
  <c r="N32" i="1"/>
  <c r="N37" i="1" l="1"/>
  <c r="N28" i="1"/>
  <c r="N36" i="1"/>
  <c r="N35" i="1"/>
  <c r="N34" i="1"/>
</calcChain>
</file>

<file path=xl/sharedStrings.xml><?xml version="1.0" encoding="utf-8"?>
<sst xmlns="http://schemas.openxmlformats.org/spreadsheetml/2006/main" count="425" uniqueCount="259">
  <si>
    <t>Sl.No</t>
  </si>
  <si>
    <t>Model</t>
  </si>
  <si>
    <t>Color</t>
  </si>
  <si>
    <t>Trim</t>
  </si>
  <si>
    <t>Type</t>
  </si>
  <si>
    <t xml:space="preserve">Comm no </t>
  </si>
  <si>
    <t>Product Name</t>
  </si>
  <si>
    <t>Customer Name</t>
  </si>
  <si>
    <t>SC</t>
  </si>
  <si>
    <t>Bkng.Dt.</t>
  </si>
  <si>
    <t>Status</t>
  </si>
  <si>
    <t>SCC DONE</t>
  </si>
  <si>
    <t>Code</t>
  </si>
  <si>
    <t>Inv.Dt.</t>
  </si>
  <si>
    <t>Chassis no</t>
  </si>
  <si>
    <t>Engine</t>
  </si>
  <si>
    <t>Trans.ID</t>
  </si>
  <si>
    <t>Corporate</t>
  </si>
  <si>
    <t>Yard</t>
  </si>
  <si>
    <t>149U-polar white</t>
  </si>
  <si>
    <t>E220d</t>
  </si>
  <si>
    <t>197U-OBSIDIAN BLACK</t>
  </si>
  <si>
    <t>V214 E 220d</t>
  </si>
  <si>
    <t>GLE300d4M</t>
  </si>
  <si>
    <t>V167 GLE 300d 4MATIC AMG Line</t>
  </si>
  <si>
    <t>GLC220d</t>
  </si>
  <si>
    <t>104A-LEATHERETTE - BROWN</t>
  </si>
  <si>
    <t>X254 GLC 220d 4MATIC</t>
  </si>
  <si>
    <t>125A-ARTICO BEIGE</t>
  </si>
  <si>
    <t>PDI</t>
  </si>
  <si>
    <t>RETAIL WITHOUT SCC</t>
  </si>
  <si>
    <t>197U-Obsidian black</t>
  </si>
  <si>
    <t>124A-ARTICO BROWN</t>
  </si>
  <si>
    <t>197-OBSIDIAN BLACK</t>
  </si>
  <si>
    <t>124-BROWN</t>
  </si>
  <si>
    <t>SRM</t>
  </si>
  <si>
    <t>Josbin</t>
  </si>
  <si>
    <t>GLA220d4M</t>
  </si>
  <si>
    <t>H247 GLA 220d 4MATIC</t>
  </si>
  <si>
    <t>Fousia</t>
  </si>
  <si>
    <t>0582572873</t>
  </si>
  <si>
    <t>Adhithya Jino Managing Director Verge Learning International Private Limited</t>
  </si>
  <si>
    <t>Alvin Hobby</t>
  </si>
  <si>
    <t>191U-COSMOS BLACK</t>
  </si>
  <si>
    <t>105A-ARTICO - BEIGE</t>
  </si>
  <si>
    <t>W1N4N1FB9SL017987</t>
  </si>
  <si>
    <t>654920V0537962</t>
  </si>
  <si>
    <t>IN2510271966</t>
  </si>
  <si>
    <t>EQB350</t>
  </si>
  <si>
    <t xml:space="preserve">
211A-Leather - black</t>
  </si>
  <si>
    <t>0482511608</t>
  </si>
  <si>
    <t>EQB 350 4MATIC</t>
  </si>
  <si>
    <t>Valiya Parambath Jaffer</t>
  </si>
  <si>
    <t>W1N9M1DB1SN129537</t>
  </si>
  <si>
    <t>78020040094294</t>
  </si>
  <si>
    <t>AUGUST - RETAIL &amp; SALES CARD CAPTURE</t>
  </si>
  <si>
    <t>AUG DEMO WHOLESALE</t>
  </si>
  <si>
    <t>AUG DEMO RETAIL</t>
  </si>
  <si>
    <t>0582575238</t>
  </si>
  <si>
    <t>SAJEETH MOHAMMED SALIM MANAGING DIRECTOR S M A S CORPORATE CONSULTANTS PRIVATE LIMITED</t>
  </si>
  <si>
    <t>Midhun Krishna</t>
  </si>
  <si>
    <t>Aug invcd</t>
  </si>
  <si>
    <t>W1KLG0EB6SL007206</t>
  </si>
  <si>
    <t>65482080336930</t>
  </si>
  <si>
    <t>E 450</t>
  </si>
  <si>
    <t>0582575533</t>
  </si>
  <si>
    <t>V214 E 450 4MATIC</t>
  </si>
  <si>
    <t>Cheriya Parambath Javid Managing Partner Malabar Residency</t>
  </si>
  <si>
    <t>W1KLG6BB0SL007645</t>
  </si>
  <si>
    <t>25683030249533</t>
  </si>
  <si>
    <t>0582572243</t>
  </si>
  <si>
    <t>P Velayudhan Nair</t>
  </si>
  <si>
    <t>Anish Alexander</t>
  </si>
  <si>
    <t>W1NKM0FB8SL010307</t>
  </si>
  <si>
    <t>65482080305757</t>
  </si>
  <si>
    <t>0482585593</t>
  </si>
  <si>
    <t>SREEKUMAR C C</t>
  </si>
  <si>
    <t>Anandhu</t>
  </si>
  <si>
    <t>W1KLG0EBXSL004793</t>
  </si>
  <si>
    <t>65482080267871</t>
  </si>
  <si>
    <t>0482586598</t>
  </si>
  <si>
    <t>Ajesh Rajan</t>
  </si>
  <si>
    <t>Sreejesh</t>
  </si>
  <si>
    <t>W1NFB0KB8SM030712</t>
  </si>
  <si>
    <t>65482080268035</t>
  </si>
  <si>
    <t>EQA 250 +</t>
  </si>
  <si>
    <t>993U-patagonia red</t>
  </si>
  <si>
    <t>two-tone rosé gold / titan</t>
  </si>
  <si>
    <t>0482511239</t>
  </si>
  <si>
    <t>Dr. Rizvi Mohammed</t>
  </si>
  <si>
    <t>W1N9N0CB2SJ140837</t>
  </si>
  <si>
    <t>78020021508336</t>
  </si>
  <si>
    <t>0482586127</t>
  </si>
  <si>
    <t>GLA 220d 4MATIC</t>
  </si>
  <si>
    <t>Nissam T N</t>
  </si>
  <si>
    <t>Shahabas</t>
  </si>
  <si>
    <t>W1N4N1FB2SL017345</t>
  </si>
  <si>
    <t>IN2510251876</t>
  </si>
  <si>
    <t>IN2510257384</t>
  </si>
  <si>
    <t>IN2510062229</t>
  </si>
  <si>
    <t>IN2510279676</t>
  </si>
  <si>
    <t>IN2510223584</t>
  </si>
  <si>
    <t>IN2510273587</t>
  </si>
  <si>
    <t>IN2510283896</t>
  </si>
  <si>
    <t>IN2510299690</t>
  </si>
  <si>
    <t>149U-Polar White</t>
  </si>
  <si>
    <t>0582572245</t>
  </si>
  <si>
    <t>Sunil Sreedhar Managing Partner Malabar Health Care</t>
  </si>
  <si>
    <t>Manesh G</t>
  </si>
  <si>
    <t>W1NKM0FB1SL010309</t>
  </si>
  <si>
    <t>65482080305766</t>
  </si>
  <si>
    <t>A200</t>
  </si>
  <si>
    <t>105A-LEATHERETTE - BEIGE</t>
  </si>
  <si>
    <t>0582572560</t>
  </si>
  <si>
    <t>V177 A 200</t>
  </si>
  <si>
    <t>Dr. THARSIS JOSEPH</t>
  </si>
  <si>
    <t>W1K3G8HB2SL010484</t>
  </si>
  <si>
    <t>28281480327696</t>
  </si>
  <si>
    <t>135A-ARTICO LEATHER-BEIGE</t>
  </si>
  <si>
    <t>0582572906</t>
  </si>
  <si>
    <t>Muhammad Ali C V</t>
  </si>
  <si>
    <t>Nafi</t>
  </si>
  <si>
    <t>W1NFB0KB0SM031708</t>
  </si>
  <si>
    <t>65482080305705</t>
  </si>
  <si>
    <t>C 200</t>
  </si>
  <si>
    <t>105A-BEIGE</t>
  </si>
  <si>
    <t>0582575736</t>
  </si>
  <si>
    <t>W206 C 200</t>
  </si>
  <si>
    <t>MICHAEL NE</t>
  </si>
  <si>
    <t>W1KAF4CB6SL018744</t>
  </si>
  <si>
    <t>254915V0929802</t>
  </si>
  <si>
    <t>EQB 250+</t>
  </si>
  <si>
    <t>ARTICO man-made leather</t>
  </si>
  <si>
    <t>0482511854</t>
  </si>
  <si>
    <t>Mansoor Ponnamkai</t>
  </si>
  <si>
    <t>W1N9M0CBXSN133937</t>
  </si>
  <si>
    <t>78020021545154</t>
  </si>
  <si>
    <t>GLS 450d</t>
  </si>
  <si>
    <t>124A-ARTICO LEATHER-BROWN</t>
  </si>
  <si>
    <t>0582573273</t>
  </si>
  <si>
    <t>X167 GLS 450D 4MATIC AMG Line</t>
  </si>
  <si>
    <t>Kuniyil Shiyas Partner Collagen Marine Products</t>
  </si>
  <si>
    <t>Safeer</t>
  </si>
  <si>
    <t>W1NFF3DE7SM032075</t>
  </si>
  <si>
    <t>65683080061276</t>
  </si>
  <si>
    <t>0582573003</t>
  </si>
  <si>
    <t>Jusaina P</t>
  </si>
  <si>
    <t>W1NFF3DE2SM031805</t>
  </si>
  <si>
    <t>65683080061058</t>
  </si>
  <si>
    <t>IN2510301205</t>
  </si>
  <si>
    <t>IN2510299625</t>
  </si>
  <si>
    <t>IN2510306154</t>
  </si>
  <si>
    <t>IN2510296356</t>
  </si>
  <si>
    <t>IN2510297947</t>
  </si>
  <si>
    <t>IN2510306568</t>
  </si>
  <si>
    <t>IN2510310145</t>
  </si>
  <si>
    <t>654920V0520077</t>
  </si>
  <si>
    <t>0482577452</t>
  </si>
  <si>
    <t>001 X167 GLS 450d 4MATIC 197 124</t>
  </si>
  <si>
    <t>Ramesh Krishnan</t>
  </si>
  <si>
    <t>Basil Poulose-30/06</t>
  </si>
  <si>
    <t>Aug invcd/dlvrd</t>
  </si>
  <si>
    <t>VH0000001554</t>
  </si>
  <si>
    <t>W1NFF3DE2RM025982</t>
  </si>
  <si>
    <t>149-POLAR WHITE</t>
  </si>
  <si>
    <t>135-BEIGE</t>
  </si>
  <si>
    <t>0482579427</t>
  </si>
  <si>
    <t>X167 GLS 450d 4MATIC</t>
  </si>
  <si>
    <t>Sajid Pathiya Parambath</t>
  </si>
  <si>
    <t>Shahabas-06/08</t>
  </si>
  <si>
    <t>VH0000000141</t>
  </si>
  <si>
    <t>W1NFF3DE4SM026685</t>
  </si>
  <si>
    <t>65683080039824</t>
  </si>
  <si>
    <t>GLE300D4M</t>
  </si>
  <si>
    <t>0482584667</t>
  </si>
  <si>
    <t>Ibrahim Thayath Amoo</t>
  </si>
  <si>
    <t>Nizamudheen-14/08</t>
  </si>
  <si>
    <t>VH0000002015</t>
  </si>
  <si>
    <t>W1NFB0KB8SM029933</t>
  </si>
  <si>
    <t>65482080258050</t>
  </si>
  <si>
    <t>AMG GLE 53C</t>
  </si>
  <si>
    <t>956U - MANUFAKTUR alpine grey</t>
  </si>
  <si>
    <t>857A-Red Pepper / Black</t>
  </si>
  <si>
    <t>0582510154</t>
  </si>
  <si>
    <t>Mercedes-AMG GLE 53 COUPE</t>
  </si>
  <si>
    <t>Afsha Zafar Taji</t>
  </si>
  <si>
    <t>Fousia-05/08</t>
  </si>
  <si>
    <t>VH0003200014</t>
  </si>
  <si>
    <t>W1NFD6BB5SB379481</t>
  </si>
  <si>
    <t>25683030205819</t>
  </si>
  <si>
    <t>0582574719</t>
  </si>
  <si>
    <t xml:space="preserve">Rashid </t>
  </si>
  <si>
    <t>W1NFB0KBXSM032297</t>
  </si>
  <si>
    <t>65482080325025</t>
  </si>
  <si>
    <t>0582576463</t>
  </si>
  <si>
    <t>JAYAPRAKASH KARTHIKEYAN</t>
  </si>
  <si>
    <t>W1NFB0KB3SM033033</t>
  </si>
  <si>
    <t>65482080337233</t>
  </si>
  <si>
    <t>IN2510315128</t>
  </si>
  <si>
    <t>IN2510311738</t>
  </si>
  <si>
    <t>0582573067</t>
  </si>
  <si>
    <t>GLS 450D 4MATIC AMG Line</t>
  </si>
  <si>
    <t>Shamsudheen P B</t>
  </si>
  <si>
    <t>Thamjeed</t>
  </si>
  <si>
    <t>W1NFF3DE6SM031869</t>
  </si>
  <si>
    <t>65683080061143</t>
  </si>
  <si>
    <t>IN2510305048</t>
  </si>
  <si>
    <t>GLA 200</t>
  </si>
  <si>
    <t>0582571101</t>
  </si>
  <si>
    <t>H247 GLA 200</t>
  </si>
  <si>
    <t>Dr. Fathimathul Nourin</t>
  </si>
  <si>
    <t>W1N4N8HB8SL017775</t>
  </si>
  <si>
    <t>28281480320682</t>
  </si>
  <si>
    <t>0582574110</t>
  </si>
  <si>
    <t>Anson Vincent Managing Partner Kuzhikkattu Fuels</t>
  </si>
  <si>
    <t>W1NKM0FB2SL010710</t>
  </si>
  <si>
    <t>65482080325229</t>
  </si>
  <si>
    <t>IN2510309552</t>
  </si>
  <si>
    <t>IN2510301265</t>
  </si>
  <si>
    <t>A 200</t>
  </si>
  <si>
    <t>Trnst</t>
  </si>
  <si>
    <t>0582572553</t>
  </si>
  <si>
    <t>Anto Jos Menachery</t>
  </si>
  <si>
    <t>Basil Poulose</t>
  </si>
  <si>
    <t>W1K3G8HB5SL010477</t>
  </si>
  <si>
    <t>28281480327670</t>
  </si>
  <si>
    <t>IN2510315727</t>
  </si>
  <si>
    <t>EQS SUV 680</t>
  </si>
  <si>
    <t>989U-Emerald Green</t>
  </si>
  <si>
    <t>514A-balao brown pearl / espre</t>
  </si>
  <si>
    <t>0582510346</t>
  </si>
  <si>
    <t>Mercedes-Maybach EQS 680 4MATIC SUV</t>
  </si>
  <si>
    <t>CHAIRMAN OBERON EDIFICES AND ESTATES PRIVATE LIMITED</t>
  </si>
  <si>
    <t>Rahul</t>
  </si>
  <si>
    <t>W1NDX5FB3SA039027</t>
  </si>
  <si>
    <t>78060010132494</t>
  </si>
  <si>
    <t>IN2510315291</t>
  </si>
  <si>
    <t>0582570587</t>
  </si>
  <si>
    <t>0582571540</t>
  </si>
  <si>
    <t>0582573380</t>
  </si>
  <si>
    <t>W206 C 220d</t>
  </si>
  <si>
    <t>105A-ARTICO BEIGE</t>
  </si>
  <si>
    <t>W1KAF0EB0SL018275</t>
  </si>
  <si>
    <t>W1KLG0EB3SL006028</t>
  </si>
  <si>
    <t>W1KLG0EB4SL006524</t>
  </si>
  <si>
    <t>65482080295138</t>
  </si>
  <si>
    <t>65482080305447</t>
  </si>
  <si>
    <t>65482080324780</t>
  </si>
  <si>
    <t>C 220d</t>
  </si>
  <si>
    <t>July invcd/Aug SCC</t>
  </si>
  <si>
    <t>0582570683</t>
  </si>
  <si>
    <t>65482080295464</t>
  </si>
  <si>
    <t>W1NKM0FB1SL009905</t>
  </si>
  <si>
    <t>BNI</t>
  </si>
  <si>
    <t>Doctor</t>
  </si>
  <si>
    <t>CA</t>
  </si>
  <si>
    <t>Blue Chip</t>
  </si>
  <si>
    <t>Fuel pump owner</t>
  </si>
  <si>
    <t>Engineer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</si>
</sst>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CorpoS"/>
    </font>
    <font>
      <b/>
      <sz val="11"/>
      <name val="CorpoS"/>
    </font>
    <font>
      <sz val="11"/>
      <name val="Aptos Narrow"/>
      <family val="2"/>
      <scheme val="minor"/>
    </font>
    <font>
      <sz val="11"/>
      <color theme="1"/>
      <name val="CorpoS"/>
      <family val="2"/>
    </font>
    <font>
      <sz val="11"/>
      <name val="CorpoS"/>
      <family val="2"/>
    </font>
    <font>
      <sz val="11"/>
      <color theme="1"/>
      <name val="CorpoS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CorpoS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10" fillId="0" borderId="0" applyFont="0" applyFill="0" applyBorder="0" applyAlignment="0" applyProtection="0"/>
  </cellStyleXfs>
  <cellXfs count="64">
    <xf numFmtId="0" fontId="0" fillId="0" borderId="0" xfId="0"/>
    <xf numFmtId="0" fontId="0" fillId="0" borderId="0" xfId="0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left"/>
    </xf>
    <xf numFmtId="0" fontId="3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0" fillId="0" borderId="3" xfId="0" applyBorder="1" applyAlignment="1">
      <alignment horizontal="left"/>
    </xf>
    <xf numFmtId="0" fontId="0" fillId="0" borderId="3" xfId="0" applyBorder="1"/>
    <xf numFmtId="0" fontId="0" fillId="0" borderId="3" xfId="0" applyBorder="1" applyAlignment="1">
      <alignment horizontal="center"/>
    </xf>
    <xf numFmtId="0" fontId="0" fillId="0" borderId="3" xfId="0" quotePrefix="1" applyBorder="1" applyAlignment="1">
      <alignment horizontal="center"/>
    </xf>
    <xf numFmtId="14" fontId="5" fillId="0" borderId="3" xfId="0" applyNumberFormat="1" applyFont="1" applyBorder="1" applyAlignment="1">
      <alignment horizontal="right"/>
    </xf>
    <xf numFmtId="0" fontId="5" fillId="0" borderId="3" xfId="0" applyFont="1" applyBorder="1"/>
    <xf numFmtId="14" fontId="7" fillId="0" borderId="3" xfId="0" applyNumberFormat="1" applyFont="1" applyBorder="1"/>
    <xf numFmtId="0" fontId="4" fillId="0" borderId="3" xfId="0" applyFont="1" applyBorder="1"/>
    <xf numFmtId="0" fontId="6" fillId="0" borderId="3" xfId="0" applyFont="1" applyBorder="1" applyAlignment="1">
      <alignment horizontal="left"/>
    </xf>
    <xf numFmtId="0" fontId="0" fillId="3" borderId="3" xfId="0" applyFill="1" applyBorder="1" applyAlignment="1">
      <alignment horizontal="center"/>
    </xf>
    <xf numFmtId="0" fontId="5" fillId="0" borderId="0" xfId="0" applyFont="1"/>
    <xf numFmtId="0" fontId="0" fillId="0" borderId="0" xfId="0" applyAlignment="1">
      <alignment horizontal="left"/>
    </xf>
    <xf numFmtId="0" fontId="9" fillId="4" borderId="3" xfId="0" applyFont="1" applyFill="1" applyBorder="1" applyAlignment="1">
      <alignment horizontal="center"/>
    </xf>
    <xf numFmtId="0" fontId="4" fillId="0" borderId="3" xfId="0" quotePrefix="1" applyFont="1" applyBorder="1"/>
    <xf numFmtId="0" fontId="5" fillId="0" borderId="3" xfId="0" applyFont="1" applyBorder="1" applyAlignment="1">
      <alignment horizontal="left"/>
    </xf>
    <xf numFmtId="0" fontId="5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 vertical="center"/>
    </xf>
    <xf numFmtId="14" fontId="5" fillId="0" borderId="3" xfId="0" applyNumberFormat="1" applyFont="1" applyBorder="1" applyAlignment="1">
      <alignment horizontal="left"/>
    </xf>
    <xf numFmtId="0" fontId="0" fillId="0" borderId="3" xfId="0" quotePrefix="1" applyBorder="1"/>
    <xf numFmtId="0" fontId="6" fillId="0" borderId="7" xfId="0" applyFont="1" applyBorder="1" applyAlignment="1">
      <alignment horizontal="center"/>
    </xf>
    <xf numFmtId="0" fontId="1" fillId="0" borderId="2" xfId="0" applyFont="1" applyBorder="1"/>
    <xf numFmtId="0" fontId="8" fillId="0" borderId="3" xfId="0" applyFont="1" applyBorder="1" applyAlignment="1">
      <alignment horizontal="center"/>
    </xf>
    <xf numFmtId="0" fontId="0" fillId="0" borderId="3" xfId="0" applyBorder="1" applyAlignment="1">
      <alignment horizontal="center" vertical="top"/>
    </xf>
    <xf numFmtId="0" fontId="0" fillId="0" borderId="3" xfId="0" applyBorder="1" applyAlignment="1">
      <alignment vertical="top"/>
    </xf>
    <xf numFmtId="14" fontId="5" fillId="0" borderId="6" xfId="0" applyNumberFormat="1" applyFont="1" applyBorder="1" applyAlignment="1">
      <alignment horizontal="left"/>
    </xf>
    <xf numFmtId="0" fontId="0" fillId="0" borderId="8" xfId="0" applyBorder="1" applyAlignment="1">
      <alignment horizontal="center"/>
    </xf>
    <xf numFmtId="0" fontId="8" fillId="5" borderId="3" xfId="0" applyFont="1" applyFill="1" applyBorder="1" applyAlignment="1">
      <alignment horizontal="center"/>
    </xf>
    <xf numFmtId="17" fontId="0" fillId="0" borderId="3" xfId="0" applyNumberFormat="1" applyBorder="1"/>
    <xf numFmtId="0" fontId="0" fillId="6" borderId="0" xfId="0" applyFill="1" applyAlignment="1">
      <alignment horizontal="center"/>
    </xf>
    <xf numFmtId="0" fontId="0" fillId="6" borderId="3" xfId="0" applyFill="1" applyBorder="1" applyAlignment="1">
      <alignment horizontal="left"/>
    </xf>
    <xf numFmtId="0" fontId="0" fillId="0" borderId="3" xfId="0" applyBorder="1" applyAlignment="1">
      <alignment horizontal="left" vertical="top"/>
    </xf>
    <xf numFmtId="0" fontId="9" fillId="0" borderId="3" xfId="0" applyFont="1" applyBorder="1" applyAlignment="1">
      <alignment horizontal="center"/>
    </xf>
    <xf numFmtId="0" fontId="4" fillId="0" borderId="0" xfId="0" applyFont="1"/>
    <xf numFmtId="0" fontId="0" fillId="0" borderId="3" xfId="0" applyBorder="1" applyAlignment="1">
      <alignment horizontal="left" wrapText="1"/>
    </xf>
    <xf numFmtId="0" fontId="6" fillId="0" borderId="3" xfId="0" quotePrefix="1" applyFont="1" applyBorder="1" applyAlignment="1">
      <alignment horizontal="center"/>
    </xf>
    <xf numFmtId="9" fontId="11" fillId="0" borderId="3" xfId="1" applyFont="1" applyBorder="1" applyAlignment="1">
      <alignment horizontal="left"/>
    </xf>
    <xf numFmtId="0" fontId="6" fillId="3" borderId="3" xfId="0" applyFont="1" applyFill="1" applyBorder="1" applyAlignment="1">
      <alignment horizontal="center"/>
    </xf>
    <xf numFmtId="14" fontId="0" fillId="0" borderId="3" xfId="0" applyNumberFormat="1" applyBorder="1" applyAlignment="1">
      <alignment horizontal="left" vertical="top"/>
    </xf>
    <xf numFmtId="1" fontId="10" fillId="0" borderId="3" xfId="0" applyNumberFormat="1" applyFont="1" applyBorder="1" applyAlignment="1">
      <alignment horizontal="left"/>
    </xf>
    <xf numFmtId="14" fontId="0" fillId="0" borderId="3" xfId="0" applyNumberFormat="1" applyBorder="1" applyAlignment="1">
      <alignment horizontal="center"/>
    </xf>
    <xf numFmtId="14" fontId="0" fillId="0" borderId="3" xfId="0" applyNumberFormat="1" applyBorder="1"/>
    <xf numFmtId="14" fontId="5" fillId="0" borderId="3" xfId="0" applyNumberFormat="1" applyFont="1" applyBorder="1"/>
    <xf numFmtId="17" fontId="5" fillId="0" borderId="3" xfId="0" applyNumberFormat="1" applyFont="1" applyBorder="1"/>
    <xf numFmtId="0" fontId="6" fillId="6" borderId="3" xfId="0" quotePrefix="1" applyFont="1" applyFill="1" applyBorder="1" applyAlignment="1">
      <alignment horizontal="center"/>
    </xf>
    <xf numFmtId="0" fontId="0" fillId="6" borderId="3" xfId="0" applyFill="1" applyBorder="1"/>
    <xf numFmtId="0" fontId="4" fillId="0" borderId="3" xfId="0" quotePrefix="1" applyFont="1" applyBorder="1" applyAlignment="1">
      <alignment horizontal="center"/>
    </xf>
    <xf numFmtId="0" fontId="6" fillId="0" borderId="3" xfId="0" applyFont="1" applyBorder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2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F9A7B-2978-449A-9346-57E68D0ED1E0}">
  <dimension ref="A1:V46"/>
  <sheetViews>
    <sheetView tabSelected="1" workbookViewId="0">
      <selection activeCell="C13" sqref="C13"/>
    </sheetView>
  </sheetViews>
  <sheetFormatPr defaultRowHeight="15" x14ac:dyDescent="0.25"/>
  <cols>
    <col min="1" max="1" width="6.7109375" customWidth="1"/>
    <col min="2" max="2" width="12.7109375" customWidth="1"/>
    <col min="3" max="3" width="18.28515625" customWidth="1"/>
    <col min="4" max="4" width="19.85546875" customWidth="1"/>
    <col min="6" max="6" width="12.5703125" style="1" customWidth="1"/>
    <col min="7" max="7" width="34.28515625" customWidth="1"/>
    <col min="8" max="8" width="24.140625" customWidth="1"/>
    <col min="9" max="9" width="14.5703125" bestFit="1" customWidth="1"/>
    <col min="10" max="10" width="11.28515625" customWidth="1"/>
    <col min="11" max="11" width="18.42578125" bestFit="1" customWidth="1"/>
    <col min="12" max="12" width="15.140625" bestFit="1" customWidth="1"/>
    <col min="13" max="13" width="11.28515625" bestFit="1" customWidth="1"/>
    <col min="14" max="14" width="12.7109375" style="1" customWidth="1"/>
    <col min="15" max="15" width="20.85546875" customWidth="1"/>
    <col min="16" max="16" width="16.140625" customWidth="1"/>
    <col min="17" max="17" width="13.140625" bestFit="1" customWidth="1"/>
    <col min="18" max="18" width="12.42578125" bestFit="1" customWidth="1"/>
  </cols>
  <sheetData>
    <row r="1" spans="1:19" ht="18" customHeight="1" x14ac:dyDescent="0.25">
      <c r="F1" s="58" t="s">
        <v>55</v>
      </c>
      <c r="G1" s="58"/>
      <c r="H1" s="58"/>
      <c r="I1" s="59"/>
    </row>
    <row r="2" spans="1:19" x14ac:dyDescent="0.25">
      <c r="A2" s="2" t="s">
        <v>0</v>
      </c>
      <c r="B2" s="2" t="s">
        <v>1</v>
      </c>
      <c r="C2" s="3" t="s">
        <v>2</v>
      </c>
      <c r="D2" s="2" t="s">
        <v>3</v>
      </c>
      <c r="E2" s="2" t="s">
        <v>4</v>
      </c>
      <c r="F2" s="4" t="s">
        <v>5</v>
      </c>
      <c r="G2" s="2" t="s">
        <v>6</v>
      </c>
      <c r="H2" s="2" t="s">
        <v>7</v>
      </c>
      <c r="I2" s="5" t="s">
        <v>8</v>
      </c>
      <c r="J2" s="6" t="s">
        <v>9</v>
      </c>
      <c r="K2" s="5" t="s">
        <v>10</v>
      </c>
      <c r="L2" s="7" t="s">
        <v>11</v>
      </c>
      <c r="M2" s="2" t="s">
        <v>12</v>
      </c>
      <c r="N2" s="8" t="s">
        <v>13</v>
      </c>
      <c r="O2" s="8" t="s">
        <v>14</v>
      </c>
      <c r="P2" s="5" t="s">
        <v>15</v>
      </c>
      <c r="Q2" s="9" t="s">
        <v>16</v>
      </c>
      <c r="R2" s="9" t="s">
        <v>17</v>
      </c>
    </row>
    <row r="3" spans="1:19" s="21" customFormat="1" x14ac:dyDescent="0.25">
      <c r="A3" s="10">
        <v>1</v>
      </c>
      <c r="B3" s="19" t="s">
        <v>37</v>
      </c>
      <c r="C3" t="s">
        <v>43</v>
      </c>
      <c r="D3" t="s">
        <v>44</v>
      </c>
      <c r="E3" s="13" t="s">
        <v>18</v>
      </c>
      <c r="F3" s="39" t="s">
        <v>40</v>
      </c>
      <c r="G3" t="s">
        <v>38</v>
      </c>
      <c r="H3" s="40" t="s">
        <v>41</v>
      </c>
      <c r="I3" s="40" t="s">
        <v>42</v>
      </c>
      <c r="J3" s="15">
        <v>45863</v>
      </c>
      <c r="K3" s="12" t="s">
        <v>249</v>
      </c>
      <c r="L3" s="16" t="s">
        <v>11</v>
      </c>
      <c r="M3" s="20">
        <v>148081</v>
      </c>
      <c r="N3" s="17">
        <v>45869</v>
      </c>
      <c r="O3" s="12" t="s">
        <v>45</v>
      </c>
      <c r="P3" s="12" t="s">
        <v>46</v>
      </c>
      <c r="Q3" s="18" t="s">
        <v>47</v>
      </c>
      <c r="R3" s="16" t="s">
        <v>253</v>
      </c>
    </row>
    <row r="4" spans="1:19" s="21" customFormat="1" x14ac:dyDescent="0.25">
      <c r="A4" s="10">
        <v>2</v>
      </c>
      <c r="B4" s="41" t="s">
        <v>48</v>
      </c>
      <c r="C4" s="11" t="s">
        <v>19</v>
      </c>
      <c r="D4" s="12" t="s">
        <v>49</v>
      </c>
      <c r="E4" s="13" t="s">
        <v>18</v>
      </c>
      <c r="F4" s="14" t="s">
        <v>50</v>
      </c>
      <c r="G4" s="12" t="s">
        <v>51</v>
      </c>
      <c r="H4" s="12" t="s">
        <v>52</v>
      </c>
      <c r="I4" s="12" t="s">
        <v>39</v>
      </c>
      <c r="J4" s="15">
        <v>45848</v>
      </c>
      <c r="K4" s="12" t="s">
        <v>249</v>
      </c>
      <c r="L4" s="16" t="s">
        <v>11</v>
      </c>
      <c r="M4" s="20">
        <v>185616</v>
      </c>
      <c r="N4" s="17">
        <v>45869</v>
      </c>
      <c r="O4" s="18" t="s">
        <v>53</v>
      </c>
      <c r="P4" s="18" t="s">
        <v>54</v>
      </c>
      <c r="Q4" s="18" t="s">
        <v>97</v>
      </c>
      <c r="R4" s="16" t="s">
        <v>253</v>
      </c>
      <c r="S4"/>
    </row>
    <row r="5" spans="1:19" s="21" customFormat="1" x14ac:dyDescent="0.25">
      <c r="A5" s="10">
        <v>3</v>
      </c>
      <c r="B5" s="12" t="s">
        <v>20</v>
      </c>
      <c r="C5" s="12" t="s">
        <v>21</v>
      </c>
      <c r="D5" s="12" t="s">
        <v>28</v>
      </c>
      <c r="E5" s="23" t="s">
        <v>29</v>
      </c>
      <c r="F5" s="14" t="s">
        <v>58</v>
      </c>
      <c r="G5" s="12" t="s">
        <v>22</v>
      </c>
      <c r="H5" s="12" t="s">
        <v>59</v>
      </c>
      <c r="I5" s="12" t="s">
        <v>60</v>
      </c>
      <c r="J5" s="15">
        <v>45852</v>
      </c>
      <c r="K5" s="12" t="s">
        <v>61</v>
      </c>
      <c r="L5" s="16" t="s">
        <v>11</v>
      </c>
      <c r="M5" s="20">
        <v>2806478</v>
      </c>
      <c r="N5" s="17">
        <v>45874</v>
      </c>
      <c r="O5" s="18" t="s">
        <v>62</v>
      </c>
      <c r="P5" s="24" t="s">
        <v>63</v>
      </c>
      <c r="Q5" s="18" t="s">
        <v>98</v>
      </c>
      <c r="R5" s="16" t="s">
        <v>255</v>
      </c>
      <c r="S5"/>
    </row>
    <row r="6" spans="1:19" s="21" customFormat="1" x14ac:dyDescent="0.25">
      <c r="A6" s="10">
        <v>4</v>
      </c>
      <c r="B6" s="12" t="s">
        <v>64</v>
      </c>
      <c r="C6" s="12" t="s">
        <v>19</v>
      </c>
      <c r="D6" s="12" t="s">
        <v>32</v>
      </c>
      <c r="E6" s="23" t="s">
        <v>29</v>
      </c>
      <c r="F6" s="14" t="s">
        <v>65</v>
      </c>
      <c r="G6" s="12" t="s">
        <v>66</v>
      </c>
      <c r="H6" s="12" t="s">
        <v>67</v>
      </c>
      <c r="I6" s="12" t="s">
        <v>36</v>
      </c>
      <c r="J6" s="15">
        <v>45717</v>
      </c>
      <c r="K6" s="12" t="s">
        <v>61</v>
      </c>
      <c r="L6" s="16" t="s">
        <v>11</v>
      </c>
      <c r="M6" s="20">
        <v>157805</v>
      </c>
      <c r="N6" s="17">
        <v>45875</v>
      </c>
      <c r="O6" s="18" t="s">
        <v>68</v>
      </c>
      <c r="P6" s="18" t="s">
        <v>69</v>
      </c>
      <c r="Q6" s="18" t="s">
        <v>99</v>
      </c>
      <c r="R6" s="16" t="s">
        <v>253</v>
      </c>
      <c r="S6"/>
    </row>
    <row r="7" spans="1:19" s="21" customFormat="1" x14ac:dyDescent="0.25">
      <c r="A7" s="10">
        <v>5</v>
      </c>
      <c r="B7" s="11" t="s">
        <v>23</v>
      </c>
      <c r="C7" s="12" t="s">
        <v>33</v>
      </c>
      <c r="D7" s="12" t="s">
        <v>34</v>
      </c>
      <c r="E7" s="23" t="s">
        <v>29</v>
      </c>
      <c r="F7" s="13" t="s">
        <v>80</v>
      </c>
      <c r="G7" s="12" t="s">
        <v>24</v>
      </c>
      <c r="H7" s="12" t="s">
        <v>81</v>
      </c>
      <c r="I7" s="12" t="s">
        <v>82</v>
      </c>
      <c r="J7" s="15">
        <v>45869</v>
      </c>
      <c r="K7" s="12" t="s">
        <v>61</v>
      </c>
      <c r="L7" s="16" t="s">
        <v>11</v>
      </c>
      <c r="M7" s="20">
        <v>233450</v>
      </c>
      <c r="N7" s="17">
        <v>45875</v>
      </c>
      <c r="O7" s="18" t="s">
        <v>83</v>
      </c>
      <c r="P7" s="24" t="s">
        <v>84</v>
      </c>
      <c r="Q7" s="18" t="s">
        <v>100</v>
      </c>
      <c r="R7" s="16" t="s">
        <v>254</v>
      </c>
      <c r="S7"/>
    </row>
    <row r="8" spans="1:19" s="21" customFormat="1" x14ac:dyDescent="0.25">
      <c r="A8" s="10">
        <v>6</v>
      </c>
      <c r="B8" s="12" t="s">
        <v>85</v>
      </c>
      <c r="C8" s="11" t="s">
        <v>86</v>
      </c>
      <c r="D8" s="11" t="s">
        <v>87</v>
      </c>
      <c r="E8" s="37" t="s">
        <v>35</v>
      </c>
      <c r="F8" s="14" t="s">
        <v>88</v>
      </c>
      <c r="G8" s="12" t="s">
        <v>85</v>
      </c>
      <c r="H8" s="12" t="s">
        <v>89</v>
      </c>
      <c r="I8" s="46" t="s">
        <v>72</v>
      </c>
      <c r="J8" s="15">
        <v>45828</v>
      </c>
      <c r="K8" s="12" t="s">
        <v>61</v>
      </c>
      <c r="L8" s="16" t="s">
        <v>11</v>
      </c>
      <c r="M8" s="20">
        <v>211087</v>
      </c>
      <c r="N8" s="17">
        <v>45880</v>
      </c>
      <c r="O8" s="18" t="s">
        <v>90</v>
      </c>
      <c r="P8" s="18" t="s">
        <v>91</v>
      </c>
      <c r="Q8" s="18" t="s">
        <v>101</v>
      </c>
      <c r="R8" s="16"/>
      <c r="S8"/>
    </row>
    <row r="9" spans="1:19" s="21" customFormat="1" x14ac:dyDescent="0.25">
      <c r="A9" s="10">
        <v>7</v>
      </c>
      <c r="B9" s="12" t="s">
        <v>25</v>
      </c>
      <c r="C9" s="12" t="s">
        <v>19</v>
      </c>
      <c r="D9" s="12" t="s">
        <v>26</v>
      </c>
      <c r="E9" s="23" t="s">
        <v>29</v>
      </c>
      <c r="F9" s="45" t="s">
        <v>70</v>
      </c>
      <c r="G9" s="12" t="s">
        <v>27</v>
      </c>
      <c r="H9" s="12" t="s">
        <v>71</v>
      </c>
      <c r="I9" s="13" t="s">
        <v>72</v>
      </c>
      <c r="J9" s="15">
        <v>45864</v>
      </c>
      <c r="K9" s="12" t="s">
        <v>61</v>
      </c>
      <c r="L9" s="16" t="s">
        <v>11</v>
      </c>
      <c r="M9" s="20">
        <v>231504</v>
      </c>
      <c r="N9" s="17">
        <v>45882</v>
      </c>
      <c r="O9" s="18" t="s">
        <v>73</v>
      </c>
      <c r="P9" s="18" t="s">
        <v>74</v>
      </c>
      <c r="Q9" s="18" t="s">
        <v>102</v>
      </c>
      <c r="R9" s="16" t="s">
        <v>253</v>
      </c>
      <c r="S9"/>
    </row>
    <row r="10" spans="1:19" s="21" customFormat="1" x14ac:dyDescent="0.25">
      <c r="A10" s="10">
        <v>8</v>
      </c>
      <c r="B10" s="12" t="s">
        <v>20</v>
      </c>
      <c r="C10" s="12" t="s">
        <v>31</v>
      </c>
      <c r="D10" s="12" t="s">
        <v>28</v>
      </c>
      <c r="E10" s="23" t="s">
        <v>29</v>
      </c>
      <c r="F10" s="45" t="s">
        <v>75</v>
      </c>
      <c r="G10" s="12" t="s">
        <v>22</v>
      </c>
      <c r="H10" s="11" t="s">
        <v>76</v>
      </c>
      <c r="I10" s="11" t="s">
        <v>77</v>
      </c>
      <c r="J10" s="15">
        <v>45873</v>
      </c>
      <c r="K10" s="12" t="s">
        <v>61</v>
      </c>
      <c r="L10" s="16" t="s">
        <v>11</v>
      </c>
      <c r="M10" s="20">
        <v>229786</v>
      </c>
      <c r="N10" s="17">
        <v>45883</v>
      </c>
      <c r="O10" s="18" t="s">
        <v>78</v>
      </c>
      <c r="P10" s="24" t="s">
        <v>79</v>
      </c>
      <c r="Q10" s="18" t="s">
        <v>103</v>
      </c>
      <c r="R10" s="16" t="s">
        <v>253</v>
      </c>
      <c r="S10"/>
    </row>
    <row r="11" spans="1:19" s="21" customFormat="1" x14ac:dyDescent="0.25">
      <c r="A11" s="10">
        <v>9</v>
      </c>
      <c r="B11" s="19" t="s">
        <v>37</v>
      </c>
      <c r="C11" s="11" t="s">
        <v>43</v>
      </c>
      <c r="D11" s="11" t="s">
        <v>44</v>
      </c>
      <c r="E11" s="23" t="s">
        <v>29</v>
      </c>
      <c r="F11" s="45" t="s">
        <v>92</v>
      </c>
      <c r="G11" s="12" t="s">
        <v>93</v>
      </c>
      <c r="H11" s="12" t="s">
        <v>94</v>
      </c>
      <c r="I11" s="12" t="s">
        <v>95</v>
      </c>
      <c r="J11" s="15">
        <v>45876</v>
      </c>
      <c r="K11" s="12" t="s">
        <v>61</v>
      </c>
      <c r="L11" s="16" t="s">
        <v>11</v>
      </c>
      <c r="M11" s="20">
        <v>239661</v>
      </c>
      <c r="N11" s="17">
        <v>45887</v>
      </c>
      <c r="O11" s="18" t="s">
        <v>96</v>
      </c>
      <c r="P11" s="18" t="s">
        <v>156</v>
      </c>
      <c r="Q11" s="18" t="s">
        <v>104</v>
      </c>
      <c r="R11" s="16" t="s">
        <v>253</v>
      </c>
      <c r="S11"/>
    </row>
    <row r="12" spans="1:19" s="21" customFormat="1" x14ac:dyDescent="0.25">
      <c r="A12" s="10">
        <v>10</v>
      </c>
      <c r="B12" s="12" t="s">
        <v>25</v>
      </c>
      <c r="C12" s="12" t="s">
        <v>105</v>
      </c>
      <c r="D12" s="12" t="s">
        <v>26</v>
      </c>
      <c r="E12" s="23" t="s">
        <v>29</v>
      </c>
      <c r="F12" s="14" t="s">
        <v>106</v>
      </c>
      <c r="G12" s="12" t="s">
        <v>27</v>
      </c>
      <c r="H12" s="18" t="s">
        <v>107</v>
      </c>
      <c r="I12" s="24" t="s">
        <v>108</v>
      </c>
      <c r="J12" s="15">
        <v>45848</v>
      </c>
      <c r="K12" s="12" t="s">
        <v>61</v>
      </c>
      <c r="L12" s="16" t="s">
        <v>11</v>
      </c>
      <c r="M12" s="47">
        <v>224392</v>
      </c>
      <c r="N12" s="17">
        <v>45888</v>
      </c>
      <c r="O12" s="18" t="s">
        <v>109</v>
      </c>
      <c r="P12" s="24" t="s">
        <v>110</v>
      </c>
      <c r="Q12" s="18" t="s">
        <v>149</v>
      </c>
      <c r="R12" s="16" t="s">
        <v>256</v>
      </c>
      <c r="S12"/>
    </row>
    <row r="13" spans="1:19" s="21" customFormat="1" x14ac:dyDescent="0.25">
      <c r="A13" s="10">
        <v>11</v>
      </c>
      <c r="B13" s="16" t="s">
        <v>111</v>
      </c>
      <c r="C13" s="12" t="s">
        <v>105</v>
      </c>
      <c r="D13" s="12" t="s">
        <v>112</v>
      </c>
      <c r="E13" s="23" t="s">
        <v>29</v>
      </c>
      <c r="F13" s="45" t="s">
        <v>113</v>
      </c>
      <c r="G13" s="12" t="s">
        <v>114</v>
      </c>
      <c r="H13" s="12" t="s">
        <v>115</v>
      </c>
      <c r="I13" s="12" t="s">
        <v>77</v>
      </c>
      <c r="J13" s="15">
        <v>45882</v>
      </c>
      <c r="K13" s="12" t="s">
        <v>61</v>
      </c>
      <c r="L13" s="16" t="s">
        <v>11</v>
      </c>
      <c r="M13" s="20">
        <v>241875</v>
      </c>
      <c r="N13" s="17">
        <v>45891</v>
      </c>
      <c r="O13" s="18" t="s">
        <v>116</v>
      </c>
      <c r="P13" s="18" t="s">
        <v>117</v>
      </c>
      <c r="Q13" s="18" t="s">
        <v>150</v>
      </c>
      <c r="R13" s="16" t="s">
        <v>253</v>
      </c>
      <c r="S13"/>
    </row>
    <row r="14" spans="1:19" s="21" customFormat="1" x14ac:dyDescent="0.25">
      <c r="A14" s="10">
        <v>12</v>
      </c>
      <c r="B14" s="16" t="s">
        <v>124</v>
      </c>
      <c r="C14" s="12" t="s">
        <v>31</v>
      </c>
      <c r="D14" s="12" t="s">
        <v>125</v>
      </c>
      <c r="E14" s="23" t="s">
        <v>29</v>
      </c>
      <c r="F14" s="45" t="s">
        <v>126</v>
      </c>
      <c r="G14" s="12" t="s">
        <v>127</v>
      </c>
      <c r="H14" s="12" t="s">
        <v>128</v>
      </c>
      <c r="I14" s="12" t="s">
        <v>77</v>
      </c>
      <c r="J14" s="15">
        <v>45880</v>
      </c>
      <c r="K14" s="12" t="s">
        <v>61</v>
      </c>
      <c r="L14" s="16" t="s">
        <v>11</v>
      </c>
      <c r="M14" s="20">
        <v>3370472</v>
      </c>
      <c r="N14" s="17">
        <v>45891</v>
      </c>
      <c r="O14" s="18" t="s">
        <v>129</v>
      </c>
      <c r="P14" s="18" t="s">
        <v>130</v>
      </c>
      <c r="Q14" s="18" t="s">
        <v>152</v>
      </c>
      <c r="R14" s="16" t="s">
        <v>253</v>
      </c>
      <c r="S14"/>
    </row>
    <row r="15" spans="1:19" s="21" customFormat="1" x14ac:dyDescent="0.25">
      <c r="A15" s="10">
        <v>13</v>
      </c>
      <c r="B15" s="16" t="s">
        <v>23</v>
      </c>
      <c r="C15" s="12" t="s">
        <v>19</v>
      </c>
      <c r="D15" s="12" t="s">
        <v>118</v>
      </c>
      <c r="E15" s="23" t="s">
        <v>29</v>
      </c>
      <c r="F15" s="45" t="s">
        <v>119</v>
      </c>
      <c r="G15" s="12" t="s">
        <v>24</v>
      </c>
      <c r="H15" s="12" t="s">
        <v>120</v>
      </c>
      <c r="I15" s="12" t="s">
        <v>121</v>
      </c>
      <c r="J15" s="15">
        <v>45884</v>
      </c>
      <c r="K15" s="12" t="s">
        <v>61</v>
      </c>
      <c r="L15" s="16" t="s">
        <v>11</v>
      </c>
      <c r="M15" s="20">
        <v>219923</v>
      </c>
      <c r="N15" s="17">
        <v>45894</v>
      </c>
      <c r="O15" s="18" t="s">
        <v>122</v>
      </c>
      <c r="P15" s="18" t="s">
        <v>123</v>
      </c>
      <c r="Q15" s="18" t="s">
        <v>151</v>
      </c>
      <c r="R15" s="16" t="s">
        <v>253</v>
      </c>
      <c r="S15"/>
    </row>
    <row r="16" spans="1:19" s="21" customFormat="1" x14ac:dyDescent="0.25">
      <c r="A16" s="10">
        <v>14</v>
      </c>
      <c r="B16" s="12" t="s">
        <v>131</v>
      </c>
      <c r="C16" s="11" t="s">
        <v>19</v>
      </c>
      <c r="D16" s="11" t="s">
        <v>132</v>
      </c>
      <c r="E16" s="23" t="s">
        <v>29</v>
      </c>
      <c r="F16" s="45" t="s">
        <v>133</v>
      </c>
      <c r="G16" s="12" t="s">
        <v>131</v>
      </c>
      <c r="H16" s="12" t="s">
        <v>134</v>
      </c>
      <c r="I16" s="12" t="s">
        <v>36</v>
      </c>
      <c r="J16" s="15">
        <v>45881</v>
      </c>
      <c r="K16" s="12" t="s">
        <v>61</v>
      </c>
      <c r="L16" s="16" t="s">
        <v>11</v>
      </c>
      <c r="M16" s="20">
        <v>241294</v>
      </c>
      <c r="N16" s="17">
        <v>45894</v>
      </c>
      <c r="O16" s="18" t="s">
        <v>135</v>
      </c>
      <c r="P16" s="18" t="s">
        <v>136</v>
      </c>
      <c r="Q16" s="18" t="s">
        <v>153</v>
      </c>
      <c r="R16" s="16" t="s">
        <v>253</v>
      </c>
      <c r="S16"/>
    </row>
    <row r="17" spans="1:22" s="21" customFormat="1" x14ac:dyDescent="0.25">
      <c r="A17" s="10">
        <v>15</v>
      </c>
      <c r="B17" s="11" t="s">
        <v>137</v>
      </c>
      <c r="C17" s="12" t="s">
        <v>21</v>
      </c>
      <c r="D17" s="12" t="s">
        <v>138</v>
      </c>
      <c r="E17" s="23" t="s">
        <v>29</v>
      </c>
      <c r="F17" s="45" t="s">
        <v>139</v>
      </c>
      <c r="G17" s="12" t="s">
        <v>140</v>
      </c>
      <c r="H17" s="12" t="s">
        <v>141</v>
      </c>
      <c r="I17" s="12" t="s">
        <v>142</v>
      </c>
      <c r="J17" s="15">
        <v>45888</v>
      </c>
      <c r="K17" s="12" t="s">
        <v>61</v>
      </c>
      <c r="L17" s="16" t="s">
        <v>11</v>
      </c>
      <c r="M17" s="20">
        <v>222141</v>
      </c>
      <c r="N17" s="17">
        <v>45894</v>
      </c>
      <c r="O17" s="18" t="s">
        <v>143</v>
      </c>
      <c r="P17" s="18" t="s">
        <v>144</v>
      </c>
      <c r="Q17" s="18" t="s">
        <v>154</v>
      </c>
      <c r="R17" s="16" t="s">
        <v>253</v>
      </c>
      <c r="S17"/>
    </row>
    <row r="18" spans="1:22" s="21" customFormat="1" x14ac:dyDescent="0.25">
      <c r="A18" s="10">
        <v>16</v>
      </c>
      <c r="B18" s="11" t="s">
        <v>137</v>
      </c>
      <c r="C18" s="12" t="s">
        <v>19</v>
      </c>
      <c r="D18" s="12" t="s">
        <v>118</v>
      </c>
      <c r="E18" s="23" t="s">
        <v>29</v>
      </c>
      <c r="F18" s="45" t="s">
        <v>145</v>
      </c>
      <c r="G18" s="12" t="s">
        <v>140</v>
      </c>
      <c r="H18" s="11" t="s">
        <v>146</v>
      </c>
      <c r="I18" s="11" t="s">
        <v>142</v>
      </c>
      <c r="J18" s="15">
        <v>45867</v>
      </c>
      <c r="K18" s="12" t="s">
        <v>61</v>
      </c>
      <c r="L18" s="16" t="s">
        <v>11</v>
      </c>
      <c r="M18" s="20">
        <v>220238</v>
      </c>
      <c r="N18" s="17">
        <v>45895</v>
      </c>
      <c r="O18" s="18" t="s">
        <v>147</v>
      </c>
      <c r="P18" s="18" t="s">
        <v>148</v>
      </c>
      <c r="Q18" s="18" t="s">
        <v>155</v>
      </c>
      <c r="R18" s="16"/>
      <c r="S18"/>
    </row>
    <row r="19" spans="1:22" s="21" customFormat="1" x14ac:dyDescent="0.25">
      <c r="A19" s="10">
        <v>17</v>
      </c>
      <c r="B19" s="16" t="s">
        <v>23</v>
      </c>
      <c r="C19" s="12" t="s">
        <v>19</v>
      </c>
      <c r="D19" s="12" t="s">
        <v>118</v>
      </c>
      <c r="E19" s="23" t="s">
        <v>29</v>
      </c>
      <c r="F19" s="45" t="s">
        <v>190</v>
      </c>
      <c r="G19" s="12" t="s">
        <v>24</v>
      </c>
      <c r="H19" s="12" t="s">
        <v>191</v>
      </c>
      <c r="I19" s="12" t="s">
        <v>121</v>
      </c>
      <c r="J19" s="15">
        <v>45894</v>
      </c>
      <c r="K19" s="12" t="s">
        <v>61</v>
      </c>
      <c r="L19" s="16" t="s">
        <v>11</v>
      </c>
      <c r="M19" s="20">
        <v>209939</v>
      </c>
      <c r="N19" s="17">
        <v>45896</v>
      </c>
      <c r="O19" s="18" t="s">
        <v>192</v>
      </c>
      <c r="P19" s="18" t="s">
        <v>193</v>
      </c>
      <c r="Q19" s="43" t="s">
        <v>198</v>
      </c>
      <c r="R19" s="16" t="s">
        <v>253</v>
      </c>
      <c r="S19"/>
    </row>
    <row r="20" spans="1:22" s="21" customFormat="1" x14ac:dyDescent="0.25">
      <c r="A20" s="10">
        <v>18</v>
      </c>
      <c r="B20" s="16" t="s">
        <v>23</v>
      </c>
      <c r="C20" s="12" t="s">
        <v>19</v>
      </c>
      <c r="D20" s="12" t="s">
        <v>118</v>
      </c>
      <c r="E20" s="23" t="s">
        <v>29</v>
      </c>
      <c r="F20" s="45" t="s">
        <v>194</v>
      </c>
      <c r="G20" s="12" t="s">
        <v>24</v>
      </c>
      <c r="H20" s="12" t="s">
        <v>195</v>
      </c>
      <c r="I20" s="12" t="s">
        <v>77</v>
      </c>
      <c r="J20" s="15">
        <v>45891</v>
      </c>
      <c r="K20" s="12" t="s">
        <v>61</v>
      </c>
      <c r="L20" s="16" t="s">
        <v>11</v>
      </c>
      <c r="M20" s="20">
        <v>242677</v>
      </c>
      <c r="N20" s="17">
        <v>45896</v>
      </c>
      <c r="O20" s="18" t="s">
        <v>196</v>
      </c>
      <c r="P20" s="24" t="s">
        <v>197</v>
      </c>
      <c r="Q20" s="18" t="s">
        <v>199</v>
      </c>
      <c r="R20" s="16" t="s">
        <v>253</v>
      </c>
      <c r="S20"/>
    </row>
    <row r="21" spans="1:22" s="21" customFormat="1" x14ac:dyDescent="0.25">
      <c r="A21" s="10">
        <v>19</v>
      </c>
      <c r="B21" s="11" t="s">
        <v>137</v>
      </c>
      <c r="C21" s="11" t="s">
        <v>21</v>
      </c>
      <c r="D21" s="12" t="s">
        <v>138</v>
      </c>
      <c r="E21" s="23" t="s">
        <v>29</v>
      </c>
      <c r="F21" s="45" t="s">
        <v>200</v>
      </c>
      <c r="G21" s="11" t="s">
        <v>201</v>
      </c>
      <c r="H21" s="12" t="s">
        <v>202</v>
      </c>
      <c r="I21" s="12" t="s">
        <v>203</v>
      </c>
      <c r="J21" s="15">
        <v>45887</v>
      </c>
      <c r="K21" s="12" t="s">
        <v>61</v>
      </c>
      <c r="L21" s="16" t="s">
        <v>11</v>
      </c>
      <c r="M21" s="20">
        <v>2303517</v>
      </c>
      <c r="N21" s="17">
        <v>45897</v>
      </c>
      <c r="O21" s="18" t="s">
        <v>204</v>
      </c>
      <c r="P21" s="24" t="s">
        <v>205</v>
      </c>
      <c r="Q21" s="18" t="s">
        <v>206</v>
      </c>
      <c r="R21" s="16" t="s">
        <v>253</v>
      </c>
      <c r="S21"/>
    </row>
    <row r="22" spans="1:22" s="21" customFormat="1" x14ac:dyDescent="0.25">
      <c r="A22" s="10">
        <v>20</v>
      </c>
      <c r="B22" s="16" t="s">
        <v>207</v>
      </c>
      <c r="C22" s="12" t="s">
        <v>43</v>
      </c>
      <c r="D22" s="12" t="s">
        <v>44</v>
      </c>
      <c r="E22" s="13" t="s">
        <v>18</v>
      </c>
      <c r="F22" s="45" t="s">
        <v>208</v>
      </c>
      <c r="G22" s="12" t="s">
        <v>209</v>
      </c>
      <c r="H22" s="12" t="s">
        <v>210</v>
      </c>
      <c r="I22" s="12" t="s">
        <v>203</v>
      </c>
      <c r="J22" s="15">
        <v>45890</v>
      </c>
      <c r="K22" s="12" t="s">
        <v>61</v>
      </c>
      <c r="L22" s="16" t="s">
        <v>11</v>
      </c>
      <c r="M22" s="20">
        <v>246491</v>
      </c>
      <c r="N22" s="17">
        <v>45898</v>
      </c>
      <c r="O22" s="18" t="s">
        <v>211</v>
      </c>
      <c r="P22" s="18" t="s">
        <v>212</v>
      </c>
      <c r="Q22" t="s">
        <v>217</v>
      </c>
      <c r="R22" s="16" t="s">
        <v>254</v>
      </c>
      <c r="S22"/>
    </row>
    <row r="23" spans="1:22" s="21" customFormat="1" x14ac:dyDescent="0.25">
      <c r="A23" s="10">
        <v>21</v>
      </c>
      <c r="B23" s="12" t="s">
        <v>25</v>
      </c>
      <c r="C23" s="12" t="s">
        <v>31</v>
      </c>
      <c r="D23" s="12" t="s">
        <v>26</v>
      </c>
      <c r="E23" s="23" t="s">
        <v>29</v>
      </c>
      <c r="F23" s="45" t="s">
        <v>213</v>
      </c>
      <c r="G23" s="12" t="s">
        <v>27</v>
      </c>
      <c r="H23" s="12" t="s">
        <v>214</v>
      </c>
      <c r="I23" s="12" t="s">
        <v>72</v>
      </c>
      <c r="J23" s="15">
        <v>45835</v>
      </c>
      <c r="K23" s="12" t="s">
        <v>61</v>
      </c>
      <c r="L23" s="16" t="s">
        <v>11</v>
      </c>
      <c r="M23" s="20">
        <v>153609</v>
      </c>
      <c r="N23" s="17">
        <v>45899</v>
      </c>
      <c r="O23" s="18" t="s">
        <v>215</v>
      </c>
      <c r="P23" s="24" t="s">
        <v>216</v>
      </c>
      <c r="Q23" s="18" t="s">
        <v>218</v>
      </c>
      <c r="R23" s="16" t="s">
        <v>257</v>
      </c>
      <c r="S23"/>
    </row>
    <row r="24" spans="1:22" x14ac:dyDescent="0.25">
      <c r="A24" s="10">
        <v>22</v>
      </c>
      <c r="B24" s="11" t="s">
        <v>219</v>
      </c>
      <c r="C24" s="12" t="s">
        <v>19</v>
      </c>
      <c r="D24" s="12" t="s">
        <v>112</v>
      </c>
      <c r="E24" s="13" t="s">
        <v>220</v>
      </c>
      <c r="F24" s="54" t="s">
        <v>221</v>
      </c>
      <c r="G24" s="12" t="s">
        <v>114</v>
      </c>
      <c r="H24" s="55" t="s">
        <v>222</v>
      </c>
      <c r="I24" s="40" t="s">
        <v>223</v>
      </c>
      <c r="J24" s="15">
        <v>45895</v>
      </c>
      <c r="K24" s="12" t="s">
        <v>61</v>
      </c>
      <c r="L24" s="16" t="s">
        <v>11</v>
      </c>
      <c r="M24" s="20">
        <v>247844</v>
      </c>
      <c r="N24" s="17">
        <v>45899</v>
      </c>
      <c r="O24" s="18" t="s">
        <v>224</v>
      </c>
      <c r="P24" s="18" t="s">
        <v>225</v>
      </c>
      <c r="Q24" s="18" t="s">
        <v>226</v>
      </c>
      <c r="R24" s="12" t="s">
        <v>258</v>
      </c>
      <c r="T24" s="22"/>
    </row>
    <row r="25" spans="1:22" s="21" customFormat="1" x14ac:dyDescent="0.25">
      <c r="A25" s="10">
        <v>23</v>
      </c>
      <c r="B25" s="12" t="s">
        <v>227</v>
      </c>
      <c r="C25" s="11" t="s">
        <v>228</v>
      </c>
      <c r="D25" s="11" t="s">
        <v>229</v>
      </c>
      <c r="E25" s="23" t="s">
        <v>29</v>
      </c>
      <c r="F25" s="45" t="s">
        <v>230</v>
      </c>
      <c r="G25" s="12" t="s">
        <v>231</v>
      </c>
      <c r="H25" s="18" t="s">
        <v>232</v>
      </c>
      <c r="I25" s="12" t="s">
        <v>233</v>
      </c>
      <c r="J25" s="15">
        <v>45849</v>
      </c>
      <c r="K25" s="12" t="s">
        <v>61</v>
      </c>
      <c r="L25" s="16" t="s">
        <v>11</v>
      </c>
      <c r="M25" s="20">
        <v>224837</v>
      </c>
      <c r="N25" s="17">
        <v>45899</v>
      </c>
      <c r="O25" s="18" t="s">
        <v>234</v>
      </c>
      <c r="P25" s="24" t="s">
        <v>235</v>
      </c>
      <c r="Q25" s="18" t="s">
        <v>236</v>
      </c>
      <c r="R25" s="16"/>
      <c r="S25"/>
    </row>
    <row r="26" spans="1:22" s="21" customFormat="1" x14ac:dyDescent="0.25">
      <c r="A26" s="10"/>
      <c r="B26" s="11"/>
      <c r="C26" s="44"/>
      <c r="D26" s="11"/>
      <c r="E26" s="32"/>
      <c r="F26" s="14"/>
      <c r="G26" s="12"/>
      <c r="H26" s="18"/>
      <c r="I26" s="12"/>
      <c r="J26" s="15"/>
      <c r="K26" s="12"/>
      <c r="L26" s="16"/>
      <c r="M26" s="13"/>
      <c r="N26" s="17"/>
      <c r="O26" s="18"/>
      <c r="P26" s="24"/>
      <c r="Q26" s="18"/>
      <c r="R26" s="16"/>
    </row>
    <row r="27" spans="1:22" s="21" customFormat="1" x14ac:dyDescent="0.25">
      <c r="A27" s="10"/>
      <c r="B27" s="25"/>
      <c r="C27" s="12"/>
      <c r="D27" s="12"/>
      <c r="E27" s="13"/>
      <c r="F27" s="60" t="s">
        <v>56</v>
      </c>
      <c r="G27" s="60"/>
      <c r="H27" s="60"/>
      <c r="I27" s="60"/>
      <c r="J27" s="15"/>
      <c r="K27" s="12"/>
      <c r="L27" s="16"/>
      <c r="M27" s="13"/>
      <c r="N27" s="17"/>
      <c r="O27" s="18"/>
      <c r="P27" s="18"/>
      <c r="Q27" s="18"/>
      <c r="R27" s="26"/>
      <c r="S27"/>
    </row>
    <row r="28" spans="1:22" s="21" customFormat="1" x14ac:dyDescent="0.25">
      <c r="A28" s="27">
        <v>1</v>
      </c>
      <c r="B28" s="11" t="s">
        <v>180</v>
      </c>
      <c r="C28" s="11" t="s">
        <v>181</v>
      </c>
      <c r="D28" s="11" t="s">
        <v>182</v>
      </c>
      <c r="E28" s="13" t="s">
        <v>18</v>
      </c>
      <c r="F28" s="45" t="s">
        <v>183</v>
      </c>
      <c r="G28" s="12" t="s">
        <v>184</v>
      </c>
      <c r="H28" s="12"/>
      <c r="I28" s="12"/>
      <c r="J28" s="15"/>
      <c r="K28" s="16"/>
      <c r="L28" s="16" t="s">
        <v>187</v>
      </c>
      <c r="M28" s="28">
        <v>45873</v>
      </c>
      <c r="N28" s="13">
        <f t="shared" ref="N28:N32" ca="1" si="0">TODAY()-M28</f>
        <v>45</v>
      </c>
      <c r="O28" s="18" t="s">
        <v>188</v>
      </c>
      <c r="P28" s="24" t="s">
        <v>189</v>
      </c>
      <c r="Q28" s="16"/>
      <c r="R28" s="16"/>
      <c r="S28" s="26"/>
      <c r="T28" s="53">
        <v>45658</v>
      </c>
      <c r="U28" s="16"/>
    </row>
    <row r="29" spans="1:22" s="21" customFormat="1" x14ac:dyDescent="0.25">
      <c r="A29" s="27">
        <v>2</v>
      </c>
      <c r="B29" s="12" t="s">
        <v>248</v>
      </c>
      <c r="C29" s="12" t="s">
        <v>21</v>
      </c>
      <c r="D29" s="12" t="s">
        <v>241</v>
      </c>
      <c r="E29" s="13"/>
      <c r="F29" s="45" t="s">
        <v>237</v>
      </c>
      <c r="G29" s="12" t="s">
        <v>240</v>
      </c>
      <c r="H29" s="12"/>
      <c r="I29" s="12"/>
      <c r="J29" s="15"/>
      <c r="K29" s="16"/>
      <c r="L29" s="16"/>
      <c r="M29" s="28">
        <v>45899</v>
      </c>
      <c r="N29" s="13">
        <f t="shared" ca="1" si="0"/>
        <v>19</v>
      </c>
      <c r="O29" s="12" t="s">
        <v>242</v>
      </c>
      <c r="P29" s="12" t="s">
        <v>245</v>
      </c>
      <c r="Q29" s="52">
        <f>M29+91</f>
        <v>45990</v>
      </c>
      <c r="R29" s="16"/>
      <c r="S29" s="26"/>
      <c r="T29" s="38"/>
      <c r="U29" s="12"/>
    </row>
    <row r="30" spans="1:22" s="21" customFormat="1" x14ac:dyDescent="0.25">
      <c r="A30" s="27">
        <v>3</v>
      </c>
      <c r="B30" s="12" t="s">
        <v>20</v>
      </c>
      <c r="C30" s="12" t="s">
        <v>21</v>
      </c>
      <c r="D30" s="12" t="s">
        <v>28</v>
      </c>
      <c r="E30" s="13"/>
      <c r="F30" s="45" t="s">
        <v>238</v>
      </c>
      <c r="G30" s="12" t="s">
        <v>22</v>
      </c>
      <c r="H30" s="12"/>
      <c r="I30" s="12"/>
      <c r="J30" s="15"/>
      <c r="K30" s="16"/>
      <c r="L30" s="16"/>
      <c r="M30" s="28">
        <v>45899</v>
      </c>
      <c r="N30" s="13">
        <f t="shared" ca="1" si="0"/>
        <v>19</v>
      </c>
      <c r="O30" s="12" t="s">
        <v>243</v>
      </c>
      <c r="P30" s="12" t="s">
        <v>246</v>
      </c>
      <c r="Q30" s="52">
        <f t="shared" ref="Q30:Q32" si="1">M30+91</f>
        <v>45990</v>
      </c>
      <c r="R30" s="16"/>
      <c r="S30" s="26"/>
      <c r="T30" s="38"/>
      <c r="U30" s="12"/>
    </row>
    <row r="31" spans="1:22" s="21" customFormat="1" x14ac:dyDescent="0.25">
      <c r="A31" s="27">
        <v>4</v>
      </c>
      <c r="B31" s="12" t="s">
        <v>25</v>
      </c>
      <c r="C31" s="12" t="s">
        <v>19</v>
      </c>
      <c r="D31" s="12" t="s">
        <v>241</v>
      </c>
      <c r="E31" s="13"/>
      <c r="F31" s="45" t="s">
        <v>250</v>
      </c>
      <c r="G31" s="12" t="s">
        <v>27</v>
      </c>
      <c r="H31" s="12"/>
      <c r="I31" s="12"/>
      <c r="J31" s="15"/>
      <c r="K31" s="16"/>
      <c r="L31" s="16"/>
      <c r="M31" s="28">
        <v>45899</v>
      </c>
      <c r="N31" s="13">
        <f t="shared" ca="1" si="0"/>
        <v>19</v>
      </c>
      <c r="O31" s="12" t="s">
        <v>252</v>
      </c>
      <c r="P31" s="29" t="s">
        <v>251</v>
      </c>
      <c r="Q31" s="52">
        <f t="shared" si="1"/>
        <v>45990</v>
      </c>
      <c r="R31" s="16"/>
      <c r="S31" s="26"/>
      <c r="T31" s="38"/>
      <c r="U31" s="12"/>
    </row>
    <row r="32" spans="1:22" s="21" customFormat="1" x14ac:dyDescent="0.25">
      <c r="A32" s="27">
        <v>5</v>
      </c>
      <c r="B32" s="12" t="s">
        <v>20</v>
      </c>
      <c r="C32" s="12" t="s">
        <v>105</v>
      </c>
      <c r="D32" s="12" t="s">
        <v>32</v>
      </c>
      <c r="E32" s="13"/>
      <c r="F32" s="45" t="s">
        <v>239</v>
      </c>
      <c r="G32" s="12" t="s">
        <v>22</v>
      </c>
      <c r="H32" s="5"/>
      <c r="I32" s="12"/>
      <c r="J32" s="15"/>
      <c r="K32" s="16"/>
      <c r="L32" s="16"/>
      <c r="M32" s="28">
        <v>45899</v>
      </c>
      <c r="N32" s="13">
        <f t="shared" ca="1" si="0"/>
        <v>19</v>
      </c>
      <c r="O32" s="12" t="s">
        <v>244</v>
      </c>
      <c r="P32" s="12" t="s">
        <v>247</v>
      </c>
      <c r="Q32" s="52">
        <f t="shared" si="1"/>
        <v>45990</v>
      </c>
      <c r="R32" s="16"/>
      <c r="S32"/>
      <c r="T32"/>
      <c r="U32"/>
      <c r="V32"/>
    </row>
    <row r="33" spans="1:21" x14ac:dyDescent="0.25">
      <c r="A33" s="10"/>
      <c r="B33" s="11"/>
      <c r="C33" s="12"/>
      <c r="D33" s="12"/>
      <c r="E33" s="42"/>
      <c r="F33" s="61" t="s">
        <v>57</v>
      </c>
      <c r="G33" s="62"/>
      <c r="H33" s="62"/>
      <c r="I33" s="63"/>
      <c r="J33" s="15"/>
      <c r="K33" s="11"/>
      <c r="L33" s="16"/>
      <c r="M33" s="30"/>
      <c r="N33" s="17"/>
      <c r="O33" s="18"/>
      <c r="P33" s="18"/>
      <c r="Q33" s="12"/>
      <c r="R33" s="12"/>
      <c r="T33" s="21"/>
      <c r="U33" s="21"/>
    </row>
    <row r="34" spans="1:21" x14ac:dyDescent="0.25">
      <c r="A34" s="27">
        <v>1</v>
      </c>
      <c r="B34" s="13" t="s">
        <v>137</v>
      </c>
      <c r="C34" s="12" t="s">
        <v>21</v>
      </c>
      <c r="D34" s="12" t="s">
        <v>34</v>
      </c>
      <c r="E34" s="23" t="s">
        <v>29</v>
      </c>
      <c r="F34" s="14" t="s">
        <v>157</v>
      </c>
      <c r="G34" s="12" t="s">
        <v>158</v>
      </c>
      <c r="H34" s="11" t="s">
        <v>159</v>
      </c>
      <c r="I34" s="11" t="s">
        <v>160</v>
      </c>
      <c r="J34" s="12" t="s">
        <v>161</v>
      </c>
      <c r="K34" s="16"/>
      <c r="L34" s="34" t="s">
        <v>162</v>
      </c>
      <c r="M34" s="48">
        <v>45626</v>
      </c>
      <c r="N34" s="13">
        <f t="shared" ref="N34" ca="1" si="2">TODAY()-M34</f>
        <v>292</v>
      </c>
      <c r="O34" s="49" t="s">
        <v>163</v>
      </c>
      <c r="P34" s="49">
        <v>65683080036547</v>
      </c>
      <c r="Q34" s="50"/>
      <c r="R34" s="12"/>
      <c r="S34" s="12"/>
      <c r="T34" s="38">
        <v>45566</v>
      </c>
      <c r="U34" s="12"/>
    </row>
    <row r="35" spans="1:21" s="21" customFormat="1" x14ac:dyDescent="0.25">
      <c r="A35" s="27">
        <v>2</v>
      </c>
      <c r="B35" s="13" t="s">
        <v>137</v>
      </c>
      <c r="C35" s="12" t="s">
        <v>164</v>
      </c>
      <c r="D35" s="12" t="s">
        <v>165</v>
      </c>
      <c r="E35" s="23" t="s">
        <v>29</v>
      </c>
      <c r="F35" s="14" t="s">
        <v>166</v>
      </c>
      <c r="G35" s="12" t="s">
        <v>167</v>
      </c>
      <c r="H35" s="12" t="s">
        <v>168</v>
      </c>
      <c r="I35" s="12" t="s">
        <v>169</v>
      </c>
      <c r="J35" s="12" t="s">
        <v>161</v>
      </c>
      <c r="K35" s="16"/>
      <c r="L35" s="16" t="s">
        <v>170</v>
      </c>
      <c r="M35" s="28">
        <v>45806</v>
      </c>
      <c r="N35" s="13">
        <f ca="1">TODAY()-M35</f>
        <v>112</v>
      </c>
      <c r="O35" s="12" t="s">
        <v>171</v>
      </c>
      <c r="P35" s="29" t="s">
        <v>172</v>
      </c>
      <c r="Q35" s="16"/>
      <c r="R35" s="16"/>
      <c r="S35" s="26"/>
      <c r="T35" s="38">
        <v>45566</v>
      </c>
      <c r="U35" s="12"/>
    </row>
    <row r="36" spans="1:21" s="21" customFormat="1" x14ac:dyDescent="0.25">
      <c r="A36" s="27">
        <v>3</v>
      </c>
      <c r="B36" s="33" t="s">
        <v>173</v>
      </c>
      <c r="C36" s="12" t="s">
        <v>164</v>
      </c>
      <c r="D36" s="34" t="s">
        <v>165</v>
      </c>
      <c r="E36" s="23" t="s">
        <v>29</v>
      </c>
      <c r="F36" s="14" t="s">
        <v>174</v>
      </c>
      <c r="G36" s="12" t="s">
        <v>24</v>
      </c>
      <c r="H36" s="12" t="s">
        <v>175</v>
      </c>
      <c r="I36" s="12" t="s">
        <v>176</v>
      </c>
      <c r="J36" s="12" t="s">
        <v>161</v>
      </c>
      <c r="K36" s="51"/>
      <c r="L36" s="12" t="s">
        <v>177</v>
      </c>
      <c r="M36" s="35">
        <v>45721</v>
      </c>
      <c r="N36" s="13">
        <f ca="1">TODAY()-M36</f>
        <v>197</v>
      </c>
      <c r="O36" s="49" t="s">
        <v>178</v>
      </c>
      <c r="P36" s="24" t="s">
        <v>179</v>
      </c>
      <c r="Q36" s="16"/>
      <c r="R36" s="52"/>
      <c r="S36" s="26"/>
      <c r="T36" s="53">
        <v>45689</v>
      </c>
      <c r="U36" s="16"/>
    </row>
    <row r="37" spans="1:21" s="21" customFormat="1" x14ac:dyDescent="0.25">
      <c r="A37" s="27">
        <v>4</v>
      </c>
      <c r="B37" s="13" t="s">
        <v>180</v>
      </c>
      <c r="C37" s="11" t="s">
        <v>181</v>
      </c>
      <c r="D37" s="11" t="s">
        <v>182</v>
      </c>
      <c r="E37" s="23" t="s">
        <v>29</v>
      </c>
      <c r="F37" s="56" t="s">
        <v>183</v>
      </c>
      <c r="G37" s="18" t="s">
        <v>184</v>
      </c>
      <c r="H37" s="18" t="s">
        <v>185</v>
      </c>
      <c r="I37" s="18" t="s">
        <v>186</v>
      </c>
      <c r="J37" s="12" t="s">
        <v>161</v>
      </c>
      <c r="K37" s="57"/>
      <c r="L37" s="16" t="s">
        <v>187</v>
      </c>
      <c r="M37" s="28">
        <v>45873</v>
      </c>
      <c r="N37" s="13">
        <f t="shared" ref="N37" ca="1" si="3">TODAY()-M37</f>
        <v>45</v>
      </c>
      <c r="O37" s="18" t="s">
        <v>188</v>
      </c>
      <c r="P37" s="24" t="s">
        <v>189</v>
      </c>
      <c r="Q37" s="16"/>
      <c r="R37" s="16"/>
      <c r="S37" s="26"/>
      <c r="T37" s="53">
        <v>45658</v>
      </c>
      <c r="U37" s="16"/>
    </row>
    <row r="38" spans="1:21" x14ac:dyDescent="0.25">
      <c r="F38" s="61" t="s">
        <v>30</v>
      </c>
      <c r="G38" s="62"/>
      <c r="H38" s="62"/>
      <c r="I38" s="63"/>
      <c r="J38" s="31"/>
    </row>
    <row r="39" spans="1:21" s="21" customFormat="1" x14ac:dyDescent="0.25">
      <c r="A39" s="10"/>
      <c r="B39" s="11"/>
      <c r="C39" s="12"/>
      <c r="D39" s="12"/>
      <c r="E39" s="13"/>
      <c r="F39" s="14"/>
      <c r="G39" s="12"/>
      <c r="H39" s="12"/>
      <c r="I39" s="12"/>
      <c r="J39" s="15"/>
      <c r="K39" s="12"/>
      <c r="L39" s="16"/>
      <c r="M39" s="36"/>
      <c r="N39" s="17"/>
      <c r="O39" s="18"/>
      <c r="P39" s="18"/>
      <c r="Q39" s="18"/>
      <c r="R39" s="16"/>
      <c r="S39"/>
    </row>
    <row r="40" spans="1:21" x14ac:dyDescent="0.25">
      <c r="A40" s="10"/>
      <c r="B40" s="11"/>
      <c r="C40" s="12"/>
      <c r="D40" s="12"/>
      <c r="E40" s="13"/>
      <c r="F40" s="14"/>
      <c r="G40" s="12"/>
      <c r="H40" s="12"/>
      <c r="I40" s="11"/>
      <c r="J40" s="12"/>
      <c r="K40" s="12"/>
      <c r="L40" s="12"/>
      <c r="M40" s="12"/>
      <c r="N40" s="17"/>
      <c r="O40" s="18"/>
      <c r="P40" s="18"/>
      <c r="Q40" s="18"/>
      <c r="R40" s="12"/>
      <c r="S40" s="21"/>
      <c r="T40" s="22"/>
    </row>
    <row r="41" spans="1:21" s="21" customFormat="1" x14ac:dyDescent="0.25">
      <c r="A41" s="10"/>
      <c r="B41" s="11"/>
      <c r="C41" s="12"/>
      <c r="D41" s="12"/>
      <c r="E41" s="13"/>
      <c r="F41" s="14"/>
      <c r="G41" s="12"/>
      <c r="H41" s="18"/>
      <c r="I41" s="12"/>
      <c r="J41" s="15"/>
      <c r="K41" s="12"/>
      <c r="L41" s="16"/>
      <c r="M41" s="13"/>
      <c r="N41" s="17"/>
      <c r="O41" s="18"/>
      <c r="P41" s="18"/>
      <c r="Q41" s="18"/>
      <c r="R41" s="16"/>
      <c r="S41"/>
    </row>
    <row r="42" spans="1:21" s="21" customFormat="1" x14ac:dyDescent="0.25">
      <c r="A42" s="10"/>
      <c r="B42" s="12"/>
      <c r="C42" s="12"/>
      <c r="D42" s="12"/>
      <c r="E42" s="13"/>
      <c r="F42" s="14"/>
      <c r="G42" s="12"/>
      <c r="H42" s="12"/>
      <c r="I42" s="12"/>
      <c r="J42" s="15"/>
      <c r="K42" s="12"/>
      <c r="L42" s="16"/>
      <c r="M42" s="13"/>
      <c r="N42" s="17"/>
      <c r="O42" s="18"/>
      <c r="P42" s="18"/>
      <c r="Q42" s="18"/>
      <c r="R42" s="16"/>
      <c r="S42"/>
    </row>
    <row r="43" spans="1:21" x14ac:dyDescent="0.25">
      <c r="A43" s="10"/>
      <c r="B43" s="19"/>
      <c r="C43" s="12"/>
      <c r="D43" s="12"/>
      <c r="E43" s="13"/>
      <c r="F43" s="13"/>
      <c r="G43" s="12"/>
      <c r="H43" s="12"/>
      <c r="I43" s="11"/>
      <c r="J43" s="15"/>
      <c r="K43" s="12"/>
      <c r="L43" s="16"/>
      <c r="M43" s="13"/>
      <c r="N43" s="17"/>
      <c r="O43" s="18"/>
      <c r="P43" s="18"/>
      <c r="Q43" s="12"/>
      <c r="R43" s="12"/>
      <c r="T43" s="22"/>
    </row>
    <row r="44" spans="1:21" s="21" customFormat="1" x14ac:dyDescent="0.25">
      <c r="A44" s="10"/>
      <c r="B44" s="11"/>
      <c r="C44" s="12"/>
      <c r="D44" s="12"/>
      <c r="E44" s="13"/>
      <c r="F44" s="14"/>
      <c r="G44" s="12"/>
      <c r="H44" s="18"/>
      <c r="I44" s="18"/>
      <c r="J44" s="15"/>
      <c r="K44" s="12"/>
      <c r="L44" s="16"/>
      <c r="M44" s="13"/>
      <c r="N44" s="17"/>
      <c r="O44" s="18"/>
      <c r="P44" s="18"/>
      <c r="Q44" s="18"/>
      <c r="R44" s="16"/>
      <c r="S44"/>
    </row>
    <row r="45" spans="1:21" s="21" customFormat="1" x14ac:dyDescent="0.25">
      <c r="A45" s="10"/>
      <c r="B45" s="11"/>
      <c r="C45" s="12"/>
      <c r="D45" s="12"/>
      <c r="E45" s="32"/>
      <c r="F45" s="14"/>
      <c r="G45" s="12"/>
      <c r="H45" s="12"/>
      <c r="I45" s="12"/>
      <c r="J45" s="15"/>
      <c r="K45" s="12"/>
      <c r="L45" s="16"/>
      <c r="M45" s="13"/>
      <c r="N45" s="17"/>
      <c r="O45" s="18"/>
      <c r="P45" s="18"/>
      <c r="Q45" s="18"/>
      <c r="R45" s="16"/>
      <c r="S45"/>
    </row>
    <row r="46" spans="1:21" x14ac:dyDescent="0.25">
      <c r="A46" s="10"/>
      <c r="B46" s="19"/>
      <c r="C46" s="12"/>
      <c r="D46" s="12"/>
      <c r="E46" s="13"/>
      <c r="F46" s="14"/>
      <c r="G46" s="12"/>
      <c r="H46" s="18"/>
      <c r="I46" s="18"/>
      <c r="J46" s="15"/>
      <c r="K46" s="12"/>
      <c r="L46" s="16"/>
      <c r="M46" s="13"/>
      <c r="N46" s="17"/>
      <c r="O46" s="18"/>
      <c r="P46" s="18"/>
      <c r="Q46" s="18"/>
      <c r="R46" s="12"/>
      <c r="T46" s="22"/>
    </row>
  </sheetData>
  <autoFilter ref="A2:V38" xr:uid="{206F9A7B-2978-449A-9346-57E68D0ED1E0}"/>
  <mergeCells count="4">
    <mergeCell ref="F1:I1"/>
    <mergeCell ref="F27:I27"/>
    <mergeCell ref="F33:I33"/>
    <mergeCell ref="F38:I38"/>
  </mergeCells>
  <conditionalFormatting sqref="F3">
    <cfRule type="duplicateValues" dxfId="218" priority="516"/>
  </conditionalFormatting>
  <conditionalFormatting sqref="F4">
    <cfRule type="duplicateValues" dxfId="217" priority="518"/>
    <cfRule type="duplicateValues" dxfId="216" priority="517"/>
  </conditionalFormatting>
  <conditionalFormatting sqref="F5">
    <cfRule type="duplicateValues" dxfId="215" priority="520"/>
    <cfRule type="duplicateValues" dxfId="214" priority="519"/>
  </conditionalFormatting>
  <conditionalFormatting sqref="F6">
    <cfRule type="duplicateValues" dxfId="213" priority="522"/>
    <cfRule type="duplicateValues" dxfId="212" priority="521"/>
  </conditionalFormatting>
  <conditionalFormatting sqref="F7">
    <cfRule type="duplicateValues" dxfId="211" priority="524"/>
    <cfRule type="duplicateValues" dxfId="210" priority="523"/>
  </conditionalFormatting>
  <conditionalFormatting sqref="F8">
    <cfRule type="duplicateValues" dxfId="209" priority="525"/>
    <cfRule type="duplicateValues" dxfId="208" priority="526"/>
  </conditionalFormatting>
  <conditionalFormatting sqref="F9">
    <cfRule type="duplicateValues" dxfId="207" priority="528"/>
    <cfRule type="duplicateValues" dxfId="206" priority="527"/>
  </conditionalFormatting>
  <conditionalFormatting sqref="F10">
    <cfRule type="duplicateValues" dxfId="205" priority="529"/>
    <cfRule type="duplicateValues" dxfId="204" priority="530"/>
  </conditionalFormatting>
  <conditionalFormatting sqref="F11">
    <cfRule type="duplicateValues" dxfId="203" priority="532"/>
    <cfRule type="duplicateValues" dxfId="202" priority="531"/>
  </conditionalFormatting>
  <conditionalFormatting sqref="F12">
    <cfRule type="duplicateValues" dxfId="201" priority="534"/>
    <cfRule type="duplicateValues" dxfId="200" priority="533"/>
  </conditionalFormatting>
  <conditionalFormatting sqref="F13">
    <cfRule type="duplicateValues" dxfId="199" priority="536"/>
    <cfRule type="duplicateValues" dxfId="198" priority="535"/>
  </conditionalFormatting>
  <conditionalFormatting sqref="F14">
    <cfRule type="duplicateValues" dxfId="197" priority="538"/>
    <cfRule type="duplicateValues" dxfId="196" priority="537"/>
  </conditionalFormatting>
  <conditionalFormatting sqref="F15">
    <cfRule type="duplicateValues" dxfId="195" priority="540"/>
    <cfRule type="duplicateValues" dxfId="194" priority="539"/>
  </conditionalFormatting>
  <conditionalFormatting sqref="F16">
    <cfRule type="duplicateValues" dxfId="193" priority="541"/>
    <cfRule type="duplicateValues" dxfId="192" priority="542"/>
  </conditionalFormatting>
  <conditionalFormatting sqref="F17">
    <cfRule type="duplicateValues" dxfId="191" priority="544"/>
    <cfRule type="duplicateValues" dxfId="190" priority="543"/>
  </conditionalFormatting>
  <conditionalFormatting sqref="F18">
    <cfRule type="duplicateValues" dxfId="189" priority="59"/>
    <cfRule type="duplicateValues" dxfId="188" priority="58"/>
  </conditionalFormatting>
  <conditionalFormatting sqref="F19">
    <cfRule type="duplicateValues" dxfId="187" priority="31"/>
    <cfRule type="duplicateValues" dxfId="186" priority="32"/>
  </conditionalFormatting>
  <conditionalFormatting sqref="F20:F21">
    <cfRule type="duplicateValues" dxfId="185" priority="27"/>
    <cfRule type="duplicateValues" dxfId="184" priority="28"/>
  </conditionalFormatting>
  <conditionalFormatting sqref="F22">
    <cfRule type="duplicateValues" dxfId="183" priority="17"/>
  </conditionalFormatting>
  <conditionalFormatting sqref="F23">
    <cfRule type="duplicateValues" dxfId="182" priority="12"/>
  </conditionalFormatting>
  <conditionalFormatting sqref="F24">
    <cfRule type="duplicateValues" dxfId="181" priority="6"/>
    <cfRule type="duplicateValues" dxfId="180" priority="7"/>
  </conditionalFormatting>
  <conditionalFormatting sqref="F25">
    <cfRule type="duplicateValues" dxfId="179" priority="3"/>
  </conditionalFormatting>
  <conditionalFormatting sqref="F26">
    <cfRule type="duplicateValues" dxfId="178" priority="549"/>
    <cfRule type="duplicateValues" dxfId="177" priority="548"/>
  </conditionalFormatting>
  <conditionalFormatting sqref="F34">
    <cfRule type="duplicateValues" dxfId="176" priority="551"/>
    <cfRule type="duplicateValues" dxfId="175" priority="550"/>
  </conditionalFormatting>
  <conditionalFormatting sqref="F35">
    <cfRule type="duplicateValues" dxfId="174" priority="553"/>
    <cfRule type="duplicateValues" dxfId="173" priority="552"/>
  </conditionalFormatting>
  <conditionalFormatting sqref="F36:F37">
    <cfRule type="duplicateValues" dxfId="172" priority="554"/>
    <cfRule type="duplicateValues" dxfId="171" priority="555"/>
  </conditionalFormatting>
  <conditionalFormatting sqref="F38:F1048576 F33 F26:F27 F1:F18">
    <cfRule type="duplicateValues" dxfId="170" priority="511"/>
  </conditionalFormatting>
  <conditionalFormatting sqref="F39">
    <cfRule type="duplicateValues" dxfId="169" priority="557"/>
    <cfRule type="duplicateValues" dxfId="168" priority="556"/>
  </conditionalFormatting>
  <conditionalFormatting sqref="F40">
    <cfRule type="duplicateValues" dxfId="167" priority="559"/>
    <cfRule type="duplicateValues" dxfId="166" priority="558"/>
  </conditionalFormatting>
  <conditionalFormatting sqref="F41">
    <cfRule type="duplicateValues" dxfId="165" priority="560"/>
  </conditionalFormatting>
  <conditionalFormatting sqref="F42">
    <cfRule type="duplicateValues" dxfId="164" priority="562"/>
    <cfRule type="duplicateValues" dxfId="163" priority="561"/>
  </conditionalFormatting>
  <conditionalFormatting sqref="F43">
    <cfRule type="duplicateValues" dxfId="162" priority="563"/>
  </conditionalFormatting>
  <conditionalFormatting sqref="F44">
    <cfRule type="duplicateValues" dxfId="161" priority="565"/>
    <cfRule type="duplicateValues" dxfId="160" priority="564"/>
  </conditionalFormatting>
  <conditionalFormatting sqref="F45">
    <cfRule type="duplicateValues" dxfId="159" priority="567"/>
    <cfRule type="duplicateValues" dxfId="158" priority="566"/>
  </conditionalFormatting>
  <conditionalFormatting sqref="F46">
    <cfRule type="duplicateValues" dxfId="157" priority="569"/>
    <cfRule type="duplicateValues" dxfId="156" priority="568"/>
  </conditionalFormatting>
  <conditionalFormatting sqref="F47:F1048576 F2">
    <cfRule type="duplicateValues" dxfId="155" priority="570"/>
  </conditionalFormatting>
  <conditionalFormatting sqref="F47:F1048576 F27 F1:F2 F33 F38">
    <cfRule type="duplicateValues" dxfId="154" priority="572"/>
  </conditionalFormatting>
  <conditionalFormatting sqref="F47:F1048576 F33 F1:F2 F27 F38">
    <cfRule type="duplicateValues" dxfId="153" priority="577"/>
  </conditionalFormatting>
  <conditionalFormatting sqref="O4">
    <cfRule type="duplicateValues" dxfId="152" priority="145"/>
    <cfRule type="duplicateValues" dxfId="151" priority="146"/>
  </conditionalFormatting>
  <conditionalFormatting sqref="O11">
    <cfRule type="duplicateValues" dxfId="150" priority="116"/>
    <cfRule type="duplicateValues" dxfId="149" priority="115"/>
  </conditionalFormatting>
  <conditionalFormatting sqref="O16">
    <cfRule type="duplicateValues" dxfId="148" priority="68"/>
    <cfRule type="duplicateValues" dxfId="147" priority="69"/>
  </conditionalFormatting>
  <conditionalFormatting sqref="O18">
    <cfRule type="duplicateValues" dxfId="146" priority="56"/>
    <cfRule type="duplicateValues" dxfId="145" priority="57"/>
  </conditionalFormatting>
  <conditionalFormatting sqref="O21">
    <cfRule type="duplicateValues" dxfId="144" priority="18"/>
    <cfRule type="duplicateValues" dxfId="143" priority="19"/>
  </conditionalFormatting>
  <conditionalFormatting sqref="O23">
    <cfRule type="duplicateValues" dxfId="142" priority="10"/>
    <cfRule type="duplicateValues" dxfId="141" priority="11"/>
  </conditionalFormatting>
  <conditionalFormatting sqref="O25">
    <cfRule type="duplicateValues" dxfId="140" priority="2"/>
    <cfRule type="duplicateValues" dxfId="139" priority="1"/>
  </conditionalFormatting>
  <conditionalFormatting sqref="O26">
    <cfRule type="duplicateValues" dxfId="138" priority="154"/>
    <cfRule type="duplicateValues" dxfId="137" priority="155"/>
  </conditionalFormatting>
  <conditionalFormatting sqref="O5:P5">
    <cfRule type="duplicateValues" dxfId="136" priority="140"/>
    <cfRule type="duplicateValues" dxfId="135" priority="139"/>
  </conditionalFormatting>
  <conditionalFormatting sqref="O6:P6">
    <cfRule type="duplicateValues" dxfId="134" priority="138"/>
    <cfRule type="duplicateValues" dxfId="133" priority="137"/>
  </conditionalFormatting>
  <conditionalFormatting sqref="O7:P7">
    <cfRule type="duplicateValues" dxfId="132" priority="124"/>
    <cfRule type="duplicateValues" dxfId="131" priority="123"/>
  </conditionalFormatting>
  <conditionalFormatting sqref="O8:P8">
    <cfRule type="duplicateValues" dxfId="130" priority="121"/>
    <cfRule type="duplicateValues" dxfId="129" priority="122"/>
  </conditionalFormatting>
  <conditionalFormatting sqref="O9:P9">
    <cfRule type="duplicateValues" dxfId="128" priority="132"/>
    <cfRule type="duplicateValues" dxfId="127" priority="131"/>
  </conditionalFormatting>
  <conditionalFormatting sqref="O10:P10">
    <cfRule type="duplicateValues" dxfId="126" priority="127"/>
    <cfRule type="duplicateValues" dxfId="125" priority="128"/>
  </conditionalFormatting>
  <conditionalFormatting sqref="O12:P12">
    <cfRule type="duplicateValues" dxfId="124" priority="88"/>
    <cfRule type="duplicateValues" dxfId="123" priority="89"/>
  </conditionalFormatting>
  <conditionalFormatting sqref="O13:P13">
    <cfRule type="duplicateValues" dxfId="122" priority="85"/>
    <cfRule type="duplicateValues" dxfId="121" priority="84"/>
  </conditionalFormatting>
  <conditionalFormatting sqref="O14:P14">
    <cfRule type="duplicateValues" dxfId="120" priority="73"/>
    <cfRule type="duplicateValues" dxfId="119" priority="72"/>
  </conditionalFormatting>
  <conditionalFormatting sqref="O15:P15">
    <cfRule type="duplicateValues" dxfId="118" priority="76"/>
    <cfRule type="duplicateValues" dxfId="117" priority="77"/>
  </conditionalFormatting>
  <conditionalFormatting sqref="O17:P17">
    <cfRule type="duplicateValues" dxfId="116" priority="63"/>
    <cfRule type="duplicateValues" dxfId="115" priority="62"/>
  </conditionalFormatting>
  <conditionalFormatting sqref="O19:P19">
    <cfRule type="duplicateValues" dxfId="114" priority="30"/>
    <cfRule type="duplicateValues" dxfId="113" priority="29"/>
  </conditionalFormatting>
  <conditionalFormatting sqref="O20:P20">
    <cfRule type="duplicateValues" dxfId="112" priority="26"/>
    <cfRule type="duplicateValues" dxfId="111" priority="25"/>
  </conditionalFormatting>
  <conditionalFormatting sqref="O22:P22">
    <cfRule type="duplicateValues" dxfId="110" priority="16"/>
    <cfRule type="duplicateValues" dxfId="109" priority="15"/>
  </conditionalFormatting>
  <conditionalFormatting sqref="O24:P24">
    <cfRule type="duplicateValues" dxfId="108" priority="8"/>
    <cfRule type="duplicateValues" dxfId="107" priority="9"/>
  </conditionalFormatting>
  <conditionalFormatting sqref="O27:P27">
    <cfRule type="duplicateValues" dxfId="106" priority="506"/>
    <cfRule type="duplicateValues" dxfId="105" priority="505"/>
  </conditionalFormatting>
  <conditionalFormatting sqref="O28:P28">
    <cfRule type="duplicateValues" dxfId="104" priority="36"/>
    <cfRule type="duplicateValues" dxfId="103" priority="35"/>
  </conditionalFormatting>
  <conditionalFormatting sqref="O29:P31">
    <cfRule type="duplicateValues" dxfId="102" priority="230"/>
    <cfRule type="duplicateValues" dxfId="101" priority="231"/>
  </conditionalFormatting>
  <conditionalFormatting sqref="O32:P32">
    <cfRule type="duplicateValues" dxfId="100" priority="340"/>
    <cfRule type="duplicateValues" dxfId="99" priority="341"/>
  </conditionalFormatting>
  <conditionalFormatting sqref="O33:P33">
    <cfRule type="duplicateValues" dxfId="98" priority="507"/>
  </conditionalFormatting>
  <conditionalFormatting sqref="O35:P35">
    <cfRule type="duplicateValues" dxfId="97" priority="46"/>
    <cfRule type="duplicateValues" dxfId="96" priority="45"/>
  </conditionalFormatting>
  <conditionalFormatting sqref="O37:P37">
    <cfRule type="duplicateValues" dxfId="95" priority="33"/>
    <cfRule type="duplicateValues" dxfId="94" priority="34"/>
  </conditionalFormatting>
  <conditionalFormatting sqref="O39:P39">
    <cfRule type="duplicateValues" dxfId="93" priority="333"/>
    <cfRule type="duplicateValues" dxfId="92" priority="334"/>
  </conditionalFormatting>
  <conditionalFormatting sqref="O40:P40">
    <cfRule type="duplicateValues" dxfId="91" priority="496"/>
    <cfRule type="duplicateValues" dxfId="90" priority="495"/>
  </conditionalFormatting>
  <conditionalFormatting sqref="O41:P41">
    <cfRule type="duplicateValues" dxfId="89" priority="487"/>
    <cfRule type="duplicateValues" dxfId="88" priority="488"/>
  </conditionalFormatting>
  <conditionalFormatting sqref="O42:P42">
    <cfRule type="duplicateValues" dxfId="87" priority="469"/>
    <cfRule type="duplicateValues" dxfId="86" priority="468"/>
  </conditionalFormatting>
  <conditionalFormatting sqref="O44:P44">
    <cfRule type="duplicateValues" dxfId="85" priority="486"/>
    <cfRule type="duplicateValues" dxfId="84" priority="485"/>
  </conditionalFormatting>
  <conditionalFormatting sqref="O45:P45">
    <cfRule type="duplicateValues" dxfId="83" priority="476"/>
    <cfRule type="duplicateValues" dxfId="82" priority="475"/>
  </conditionalFormatting>
  <conditionalFormatting sqref="O46:P46 O43:P43">
    <cfRule type="duplicateValues" dxfId="81" priority="509"/>
    <cfRule type="duplicateValues" dxfId="80" priority="510"/>
  </conditionalFormatting>
  <conditionalFormatting sqref="P4">
    <cfRule type="duplicateValues" dxfId="79" priority="143"/>
    <cfRule type="duplicateValues" dxfId="78" priority="144"/>
  </conditionalFormatting>
  <conditionalFormatting sqref="P11">
    <cfRule type="duplicateValues" dxfId="77" priority="48"/>
    <cfRule type="duplicateValues" dxfId="76" priority="47"/>
  </conditionalFormatting>
  <conditionalFormatting sqref="P16">
    <cfRule type="duplicateValues" dxfId="75" priority="67"/>
    <cfRule type="duplicateValues" dxfId="74" priority="66"/>
  </conditionalFormatting>
  <conditionalFormatting sqref="P18">
    <cfRule type="duplicateValues" dxfId="73" priority="60"/>
    <cfRule type="duplicateValues" dxfId="72" priority="61"/>
  </conditionalFormatting>
  <conditionalFormatting sqref="P21">
    <cfRule type="duplicateValues" dxfId="71" priority="20"/>
    <cfRule type="duplicateValues" dxfId="70" priority="21"/>
  </conditionalFormatting>
  <conditionalFormatting sqref="P23">
    <cfRule type="duplicateValues" dxfId="69" priority="13"/>
    <cfRule type="duplicateValues" dxfId="68" priority="14"/>
  </conditionalFormatting>
  <conditionalFormatting sqref="P25">
    <cfRule type="duplicateValues" dxfId="67" priority="4"/>
    <cfRule type="duplicateValues" dxfId="66" priority="5"/>
  </conditionalFormatting>
  <conditionalFormatting sqref="P26">
    <cfRule type="duplicateValues" dxfId="65" priority="152"/>
    <cfRule type="duplicateValues" dxfId="64" priority="153"/>
  </conditionalFormatting>
  <conditionalFormatting sqref="P36">
    <cfRule type="duplicateValues" dxfId="63" priority="41"/>
    <cfRule type="duplicateValues" dxfId="62" priority="42"/>
  </conditionalFormatting>
  <conditionalFormatting sqref="Q3">
    <cfRule type="duplicateValues" dxfId="61" priority="160"/>
    <cfRule type="duplicateValues" dxfId="60" priority="159"/>
    <cfRule type="duplicateValues" dxfId="59" priority="158"/>
  </conditionalFormatting>
  <conditionalFormatting sqref="Q4">
    <cfRule type="duplicateValues" dxfId="58" priority="114"/>
    <cfRule type="duplicateValues" dxfId="57" priority="113"/>
    <cfRule type="duplicateValues" dxfId="56" priority="112"/>
  </conditionalFormatting>
  <conditionalFormatting sqref="Q5">
    <cfRule type="duplicateValues" dxfId="55" priority="111"/>
    <cfRule type="duplicateValues" dxfId="54" priority="110"/>
    <cfRule type="duplicateValues" dxfId="53" priority="109"/>
  </conditionalFormatting>
  <conditionalFormatting sqref="Q6">
    <cfRule type="duplicateValues" dxfId="52" priority="106"/>
    <cfRule type="duplicateValues" dxfId="51" priority="107"/>
    <cfRule type="duplicateValues" dxfId="50" priority="108"/>
  </conditionalFormatting>
  <conditionalFormatting sqref="Q7">
    <cfRule type="duplicateValues" dxfId="49" priority="105"/>
    <cfRule type="duplicateValues" dxfId="48" priority="104"/>
    <cfRule type="duplicateValues" dxfId="47" priority="103"/>
  </conditionalFormatting>
  <conditionalFormatting sqref="Q8">
    <cfRule type="duplicateValues" dxfId="46" priority="100"/>
    <cfRule type="duplicateValues" dxfId="45" priority="102"/>
    <cfRule type="duplicateValues" dxfId="44" priority="101"/>
  </conditionalFormatting>
  <conditionalFormatting sqref="Q9">
    <cfRule type="duplicateValues" dxfId="43" priority="97"/>
    <cfRule type="duplicateValues" dxfId="42" priority="98"/>
    <cfRule type="duplicateValues" dxfId="41" priority="99"/>
  </conditionalFormatting>
  <conditionalFormatting sqref="Q10">
    <cfRule type="duplicateValues" dxfId="40" priority="94"/>
    <cfRule type="duplicateValues" dxfId="39" priority="95"/>
    <cfRule type="duplicateValues" dxfId="38" priority="96"/>
  </conditionalFormatting>
  <conditionalFormatting sqref="Q11">
    <cfRule type="duplicateValues" dxfId="37" priority="93"/>
    <cfRule type="duplicateValues" dxfId="36" priority="92"/>
  </conditionalFormatting>
  <conditionalFormatting sqref="Q12">
    <cfRule type="duplicateValues" dxfId="35" priority="52"/>
    <cfRule type="duplicateValues" dxfId="34" priority="53"/>
    <cfRule type="duplicateValues" dxfId="33" priority="54"/>
  </conditionalFormatting>
  <conditionalFormatting sqref="Q17">
    <cfRule type="duplicateValues" dxfId="32" priority="51"/>
    <cfRule type="duplicateValues" dxfId="31" priority="50"/>
    <cfRule type="duplicateValues" dxfId="30" priority="49"/>
  </conditionalFormatting>
  <conditionalFormatting sqref="Q20">
    <cfRule type="duplicateValues" dxfId="29" priority="24"/>
    <cfRule type="duplicateValues" dxfId="28" priority="23"/>
    <cfRule type="duplicateValues" dxfId="27" priority="22"/>
  </conditionalFormatting>
  <conditionalFormatting sqref="Q26">
    <cfRule type="duplicateValues" dxfId="26" priority="150"/>
    <cfRule type="duplicateValues" dxfId="25" priority="149"/>
    <cfRule type="duplicateValues" dxfId="24" priority="151"/>
  </conditionalFormatting>
  <conditionalFormatting sqref="Q27">
    <cfRule type="duplicateValues" dxfId="23" priority="503"/>
    <cfRule type="duplicateValues" dxfId="22" priority="502"/>
    <cfRule type="duplicateValues" dxfId="21" priority="501"/>
  </conditionalFormatting>
  <conditionalFormatting sqref="Q39">
    <cfRule type="duplicateValues" dxfId="20" priority="329"/>
    <cfRule type="duplicateValues" dxfId="19" priority="330"/>
    <cfRule type="duplicateValues" dxfId="18" priority="328"/>
  </conditionalFormatting>
  <conditionalFormatting sqref="Q40">
    <cfRule type="duplicateValues" dxfId="17" priority="492"/>
    <cfRule type="duplicateValues" dxfId="16" priority="491"/>
    <cfRule type="duplicateValues" dxfId="15" priority="490"/>
  </conditionalFormatting>
  <conditionalFormatting sqref="Q41">
    <cfRule type="duplicateValues" dxfId="14" priority="480"/>
    <cfRule type="duplicateValues" dxfId="13" priority="481"/>
    <cfRule type="duplicateValues" dxfId="12" priority="482"/>
  </conditionalFormatting>
  <conditionalFormatting sqref="Q42">
    <cfRule type="duplicateValues" dxfId="11" priority="464"/>
    <cfRule type="duplicateValues" dxfId="10" priority="463"/>
    <cfRule type="duplicateValues" dxfId="9" priority="465"/>
  </conditionalFormatting>
  <conditionalFormatting sqref="Q44">
    <cfRule type="duplicateValues" dxfId="8" priority="479"/>
    <cfRule type="duplicateValues" dxfId="7" priority="477"/>
    <cfRule type="duplicateValues" dxfId="6" priority="478"/>
  </conditionalFormatting>
  <conditionalFormatting sqref="Q45">
    <cfRule type="duplicateValues" dxfId="5" priority="470"/>
    <cfRule type="duplicateValues" dxfId="4" priority="472"/>
    <cfRule type="duplicateValues" dxfId="3" priority="471"/>
  </conditionalFormatting>
  <conditionalFormatting sqref="Q46">
    <cfRule type="duplicateValues" dxfId="2" priority="459"/>
    <cfRule type="duplicateValues" dxfId="1" priority="458"/>
    <cfRule type="duplicateValues" dxfId="0" priority="457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admin5</dc:creator>
  <cp:lastModifiedBy>admin5</cp:lastModifiedBy>
  <dcterms:created xsi:type="dcterms:W3CDTF">2025-07-11T06:55:44Z</dcterms:created>
  <dcterms:modified xsi:type="dcterms:W3CDTF">2025-09-18T07:57:50Z</dcterms:modified>
</cp:coreProperties>
</file>