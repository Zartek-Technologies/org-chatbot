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8_{5895B504-0C14-4DE2-8F5A-D29B155CBB4D}" xr6:coauthVersionLast="47" xr6:coauthVersionMax="47" xr10:uidLastSave="{00000000-0000-0000-0000-000000000000}"/>
  <bookViews>
    <workbookView xWindow="-120" yWindow="-120" windowWidth="20730" windowHeight="11040" xr2:uid="{869FC6BE-0D02-4386-BAA8-0AAB1612A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" l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<sst xmlns="http://schemas.openxmlformats.org/spreadsheetml/2006/main" count="261" uniqueCount="197">
  <si>
    <t>Sl.No</t>
  </si>
  <si>
    <t>Model</t>
  </si>
  <si>
    <t>Color</t>
  </si>
  <si>
    <t>Trim</t>
  </si>
  <si>
    <t>Type</t>
  </si>
  <si>
    <t xml:space="preserve">Comm no </t>
  </si>
  <si>
    <t>Product Name</t>
  </si>
  <si>
    <t>Customer Name</t>
  </si>
  <si>
    <t>SC</t>
  </si>
  <si>
    <t>Bkng.Dt.</t>
  </si>
  <si>
    <t>Status</t>
  </si>
  <si>
    <t>Invoice No</t>
  </si>
  <si>
    <t>Date</t>
  </si>
  <si>
    <t>Age</t>
  </si>
  <si>
    <t>Chassis no</t>
  </si>
  <si>
    <t>Engine</t>
  </si>
  <si>
    <t>C 220d</t>
  </si>
  <si>
    <t>922U-HIGH-TECH-SILVER</t>
  </si>
  <si>
    <t>101A-LEATHERETTE - BLACK / ANT</t>
  </si>
  <si>
    <t>Yard</t>
  </si>
  <si>
    <t>0382570225</t>
  </si>
  <si>
    <t>001 SKD W206 C 220d MY23 1.0 922 101</t>
  </si>
  <si>
    <t>Repair</t>
  </si>
  <si>
    <t>VH0000001062</t>
  </si>
  <si>
    <t>W1KAF0EB9PL010425</t>
  </si>
  <si>
    <t>65482080069966</t>
  </si>
  <si>
    <t>GLE 450</t>
  </si>
  <si>
    <t>149U-POLAR WHITE - NON-METALLI</t>
  </si>
  <si>
    <t>135A-LEATHERETTE - BEIGE</t>
  </si>
  <si>
    <t>0382574780</t>
  </si>
  <si>
    <t>CKD V167 GLE450 4M LWB FL</t>
  </si>
  <si>
    <t>VH0000001180</t>
  </si>
  <si>
    <t>W1NFB5KB3PM018102</t>
  </si>
  <si>
    <t>25683030008388</t>
  </si>
  <si>
    <t>S 350d</t>
  </si>
  <si>
    <t>799U-DIAMOND WHITE METALLIC PA</t>
  </si>
  <si>
    <t>205A-LEATHER - BEIGE</t>
  </si>
  <si>
    <t>0382572597</t>
  </si>
  <si>
    <t>001 V223 S 350d 799 205</t>
  </si>
  <si>
    <t>VH0000001874</t>
  </si>
  <si>
    <t>W1K6G3AB7PL003449</t>
  </si>
  <si>
    <t>65692980275088</t>
  </si>
  <si>
    <t>GLS 450d</t>
  </si>
  <si>
    <t>842-SODALITH BLUE</t>
  </si>
  <si>
    <t>124A-LEATHERETTE - BROWN</t>
  </si>
  <si>
    <t>0482571813</t>
  </si>
  <si>
    <t>X167 GLS 450d 4MATIC</t>
  </si>
  <si>
    <t>VH0000000470</t>
  </si>
  <si>
    <t>W1NFF3DEXRM023655</t>
  </si>
  <si>
    <t>65683080022845</t>
  </si>
  <si>
    <t>EQB350</t>
  </si>
  <si>
    <t>993U-patagonia red</t>
  </si>
  <si>
    <t>211A-Leather - black</t>
  </si>
  <si>
    <t>0482510476</t>
  </si>
  <si>
    <t>002 CBU X243 EQB 350 4MATIC 993 211</t>
  </si>
  <si>
    <t>VH0000000795</t>
  </si>
  <si>
    <t>W1N9M1CB8SN096280</t>
  </si>
  <si>
    <t>78020040068752</t>
  </si>
  <si>
    <t>149U-polar white</t>
  </si>
  <si>
    <t>0482510614</t>
  </si>
  <si>
    <t>002 CBU X243 EQB 350 4MATIC 149 211</t>
  </si>
  <si>
    <t>Najwa K</t>
  </si>
  <si>
    <t>Fousia-08/12</t>
  </si>
  <si>
    <t>VH0000001256</t>
  </si>
  <si>
    <t>W1N9M1CB9SN099852</t>
  </si>
  <si>
    <t>78020040076209</t>
  </si>
  <si>
    <t>GLC220d</t>
  </si>
  <si>
    <t>197U-obsidian black</t>
  </si>
  <si>
    <t>104A-BROWN</t>
  </si>
  <si>
    <t>PDI</t>
  </si>
  <si>
    <t>0482580668</t>
  </si>
  <si>
    <t>X254 GLC 220d 4MATIC</t>
  </si>
  <si>
    <t>Mozma Muneer</t>
  </si>
  <si>
    <t>Ajmal-03/11</t>
  </si>
  <si>
    <t>VH0000001788</t>
  </si>
  <si>
    <t>W1NKM0FB3SL008772</t>
  </si>
  <si>
    <t>65482080234795</t>
  </si>
  <si>
    <t>EQS450 4M</t>
  </si>
  <si>
    <t>989U-SMARAGD GREEN</t>
  </si>
  <si>
    <t>209A-LEDER - GELB / WEISS</t>
  </si>
  <si>
    <t>0482581597</t>
  </si>
  <si>
    <t>X296 EQS SUV 450 4MATIC</t>
  </si>
  <si>
    <t>VH0000001828</t>
  </si>
  <si>
    <t>W1NDM2EB1SM000413</t>
  </si>
  <si>
    <t>78060020306601</t>
  </si>
  <si>
    <t>GLE300D4M</t>
  </si>
  <si>
    <t>197-OBSIDIAN BLACK</t>
  </si>
  <si>
    <t>124-BROWN</t>
  </si>
  <si>
    <t>0482584697</t>
  </si>
  <si>
    <t>V167 GLE 300d 4MATIC AMG Line</t>
  </si>
  <si>
    <t>VH0000002016</t>
  </si>
  <si>
    <t>W1NFB0KB6SM029963</t>
  </si>
  <si>
    <t>65482080258077</t>
  </si>
  <si>
    <t>E220d</t>
  </si>
  <si>
    <t>125A-ARTICO BEIGE</t>
  </si>
  <si>
    <t>V214 E 220d</t>
  </si>
  <si>
    <t>197U-OBSIDIAN BLACK</t>
  </si>
  <si>
    <t>0582571540</t>
  </si>
  <si>
    <t>VH0000000628</t>
  </si>
  <si>
    <t>W1KLG0EB3SL006028</t>
  </si>
  <si>
    <t>65482080305447</t>
  </si>
  <si>
    <t>149U-Polar White</t>
  </si>
  <si>
    <t>124A-ARTICO BROWN</t>
  </si>
  <si>
    <t>0582573380</t>
  </si>
  <si>
    <t>VH0000000629</t>
  </si>
  <si>
    <t>W1KLG0EB4SL006524</t>
  </si>
  <si>
    <t>65482080324780</t>
  </si>
  <si>
    <t>GLE 450d</t>
  </si>
  <si>
    <t>0482586506</t>
  </si>
  <si>
    <t>V167 GLE 450d 4MATIC</t>
  </si>
  <si>
    <t>VH0000000672</t>
  </si>
  <si>
    <t>W1NFB3DB2SM030476</t>
  </si>
  <si>
    <t>65683080051115</t>
  </si>
  <si>
    <t>885U-OPALITH WHITE</t>
  </si>
  <si>
    <t>104A-ARTICO BROWN</t>
  </si>
  <si>
    <t>0582570559</t>
  </si>
  <si>
    <t>W206 C 220d</t>
  </si>
  <si>
    <t>VH0000000675</t>
  </si>
  <si>
    <t>W1KAF0EB6SL018247</t>
  </si>
  <si>
    <t>65482080295101</t>
  </si>
  <si>
    <t>105A-ARTICO BEIGE</t>
  </si>
  <si>
    <t>0582570579</t>
  </si>
  <si>
    <t>VH0000000677</t>
  </si>
  <si>
    <t>W1KAF0EB1SL018267</t>
  </si>
  <si>
    <t>65482080295129</t>
  </si>
  <si>
    <t>GLA 220d</t>
  </si>
  <si>
    <t>191U-COSMOS BLACK</t>
  </si>
  <si>
    <t>105A-ARTICO - BEIGE</t>
  </si>
  <si>
    <t>0582570972</t>
  </si>
  <si>
    <t>H247 GLA 220d 4MATIC</t>
  </si>
  <si>
    <t>Aboobacker Kadooli</t>
  </si>
  <si>
    <t>Irshad-20/11</t>
  </si>
  <si>
    <t>VH0000000673</t>
  </si>
  <si>
    <t>W1N4N1FB3SL017838</t>
  </si>
  <si>
    <t>654920V0533408</t>
  </si>
  <si>
    <t>E 220d</t>
  </si>
  <si>
    <t>0582571557</t>
  </si>
  <si>
    <t>VH0003600019</t>
  </si>
  <si>
    <t>W1KLG0EB3SL006045</t>
  </si>
  <si>
    <t>65482080305529</t>
  </si>
  <si>
    <t>595U-NAUTIC BLUE</t>
  </si>
  <si>
    <t>0582571601</t>
  </si>
  <si>
    <t>VH0000000689</t>
  </si>
  <si>
    <t>W1KLG0EB1SL006089</t>
  </si>
  <si>
    <t>65482080305568</t>
  </si>
  <si>
    <t>GLE300d4M</t>
  </si>
  <si>
    <t>135A-ARTICO LEATHER-BEIGE</t>
  </si>
  <si>
    <t>0582577491</t>
  </si>
  <si>
    <t>VH0000000880</t>
  </si>
  <si>
    <t>W1NFB0KB6SM033317</t>
  </si>
  <si>
    <t>65482080353068</t>
  </si>
  <si>
    <t>0582577508</t>
  </si>
  <si>
    <t>VH0000000840</t>
  </si>
  <si>
    <t>W1NFB0KB6SM033334</t>
  </si>
  <si>
    <t>65482080353257</t>
  </si>
  <si>
    <t>0582577688</t>
  </si>
  <si>
    <t>X167 GLS 450D 4MATIC AMG Line</t>
  </si>
  <si>
    <t>Muhammed Ashraf Murikkancheri</t>
  </si>
  <si>
    <t>Irshad-25/11</t>
  </si>
  <si>
    <t>VH0000000772</t>
  </si>
  <si>
    <t>W1NFF3DE7SM033730</t>
  </si>
  <si>
    <t>65683080263041</t>
  </si>
  <si>
    <t>0582572161</t>
  </si>
  <si>
    <t>VH0000001076</t>
  </si>
  <si>
    <t>W1KAF0EB6SL018457</t>
  </si>
  <si>
    <t>65482080305424</t>
  </si>
  <si>
    <t>GLC 220d</t>
  </si>
  <si>
    <t>105A-LEATHERETTE - BEIGE</t>
  </si>
  <si>
    <t>0582572291</t>
  </si>
  <si>
    <t>Tony Chacko</t>
  </si>
  <si>
    <t>Anandhu-13/11</t>
  </si>
  <si>
    <t>VH0000001092</t>
  </si>
  <si>
    <t>W1NKM0FB7SL010427</t>
  </si>
  <si>
    <t>65482080305832</t>
  </si>
  <si>
    <t>GLA220d4M</t>
  </si>
  <si>
    <t>0482584538</t>
  </si>
  <si>
    <t>GLA220D4M</t>
  </si>
  <si>
    <t>VH0003200026</t>
  </si>
  <si>
    <t>W1N4N1FB7SL017292</t>
  </si>
  <si>
    <t>654920V0517292</t>
  </si>
  <si>
    <t>135-BEIGE</t>
  </si>
  <si>
    <t>0582573170</t>
  </si>
  <si>
    <t>Demo</t>
  </si>
  <si>
    <t>VH0000001331</t>
  </si>
  <si>
    <t>W1NFF3DEXSM031972</t>
  </si>
  <si>
    <t>65683080061241</t>
  </si>
  <si>
    <t>AMG GLE53C</t>
  </si>
  <si>
    <t>149U - polar white</t>
  </si>
  <si>
    <t>857A-Red Pepper / Black</t>
  </si>
  <si>
    <t>0582510398</t>
  </si>
  <si>
    <t>CBU C167 Mercedes-AMG GLE 53 COUPE</t>
  </si>
  <si>
    <t>W1NFD6BB3SB432596</t>
  </si>
  <si>
    <t>25683030213521</t>
  </si>
  <si>
    <t>0582578169</t>
  </si>
  <si>
    <t>W1KLG0EBXTL008649</t>
  </si>
  <si>
    <t>65482080370050</t>
  </si>
  <si>
    <t>DEMO STOCK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</si>
</sst>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orpoS"/>
      <family val="2"/>
    </font>
    <font>
      <b/>
      <sz val="12"/>
      <name val="CorpoS"/>
    </font>
    <font>
      <b/>
      <sz val="11"/>
      <name val="CorpoS"/>
      <family val="2"/>
    </font>
    <font>
      <b/>
      <sz val="11"/>
      <color theme="1"/>
      <name val="CorpoS"/>
    </font>
    <font>
      <b/>
      <sz val="11"/>
      <name val="CorpoS"/>
    </font>
    <font>
      <sz val="11"/>
      <name val="Aptos Narrow"/>
      <family val="2"/>
      <scheme val="minor"/>
    </font>
    <font>
      <sz val="11"/>
      <color theme="1"/>
      <name val="CorpoS"/>
      <family val="2"/>
    </font>
    <font>
      <sz val="11"/>
      <color theme="1"/>
      <name val="CorpoS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horizontal="center"/>
    </xf>
    <xf numFmtId="0" fontId="0" fillId="0" borderId="2" xfId="0" applyBorder="1"/>
    <xf numFmtId="0" fontId="1" fillId="0" borderId="2" xfId="1" quotePrefix="1" applyBorder="1"/>
    <xf numFmtId="14" fontId="1" fillId="0" borderId="2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8" fillId="0" borderId="2" xfId="2" applyFont="1" applyBorder="1"/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9" fillId="0" borderId="2" xfId="0" applyFont="1" applyBorder="1"/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11" fillId="3" borderId="2" xfId="0" applyFont="1" applyFill="1" applyBorder="1" applyAlignment="1">
      <alignment horizontal="center"/>
    </xf>
    <xf numFmtId="14" fontId="9" fillId="0" borderId="2" xfId="0" applyNumberFormat="1" applyFont="1" applyBorder="1" applyAlignment="1">
      <alignment horizontal="left"/>
    </xf>
    <xf numFmtId="0" fontId="8" fillId="0" borderId="2" xfId="0" applyFont="1" applyBorder="1"/>
    <xf numFmtId="0" fontId="8" fillId="0" borderId="2" xfId="0" quotePrefix="1" applyFont="1" applyBorder="1"/>
    <xf numFmtId="0" fontId="2" fillId="0" borderId="2" xfId="0" applyFont="1" applyBorder="1" applyAlignment="1">
      <alignment horizontal="center"/>
    </xf>
    <xf numFmtId="14" fontId="0" fillId="0" borderId="2" xfId="0" applyNumberFormat="1" applyBorder="1"/>
    <xf numFmtId="14" fontId="0" fillId="0" borderId="2" xfId="0" applyNumberFormat="1" applyBorder="1" applyAlignment="1">
      <alignment horizontal="left"/>
    </xf>
    <xf numFmtId="14" fontId="9" fillId="0" borderId="3" xfId="0" applyNumberFormat="1" applyFont="1" applyBorder="1" applyAlignment="1">
      <alignment horizontal="left"/>
    </xf>
    <xf numFmtId="0" fontId="3" fillId="0" borderId="2" xfId="0" quotePrefix="1" applyFont="1" applyBorder="1" applyAlignment="1">
      <alignment horizontal="center"/>
    </xf>
    <xf numFmtId="14" fontId="9" fillId="0" borderId="2" xfId="0" applyNumberFormat="1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0" fillId="0" borderId="2" xfId="0" quotePrefix="1" applyBorder="1"/>
    <xf numFmtId="0" fontId="0" fillId="0" borderId="0" xfId="0" applyAlignment="1">
      <alignment vertical="top"/>
    </xf>
  </cellXfs>
  <cellStyles count="3">
    <cellStyle name="Normal" xfId="0" builtinId="0"/>
    <cellStyle name="Normal 4" xfId="1" xr:uid="{59363798-D52D-49C9-BDDE-43DAB23CACCD}"/>
    <cellStyle name="Normal 63" xfId="2" xr:uid="{E416C8DF-4A13-4176-8B53-D6D96FFE902B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BE71-81BB-4CF8-88C4-EEB350FDB2F4}">
  <dimension ref="A1:P28"/>
  <sheetViews>
    <sheetView tabSelected="1" workbookViewId="0">
      <selection activeCell="C10" sqref="C10"/>
    </sheetView>
  </sheetViews>
  <sheetFormatPr defaultRowHeight="15" x14ac:dyDescent="0.25"/>
  <cols>
    <col min="2" max="2" width="12.7109375" bestFit="1" customWidth="1"/>
    <col min="3" max="3" width="32.7109375" bestFit="1" customWidth="1"/>
    <col min="4" max="4" width="30.140625" bestFit="1" customWidth="1"/>
    <col min="5" max="5" width="6" bestFit="1" customWidth="1"/>
    <col min="6" max="6" width="12.42578125" bestFit="1" customWidth="1"/>
    <col min="7" max="7" width="36" bestFit="1" customWidth="1"/>
    <col min="8" max="8" width="31.5703125" bestFit="1" customWidth="1"/>
    <col min="9" max="9" width="14.5703125" bestFit="1" customWidth="1"/>
    <col min="10" max="10" width="9.85546875" bestFit="1" customWidth="1"/>
    <col min="11" max="11" width="7.7109375" bestFit="1" customWidth="1"/>
    <col min="12" max="12" width="15.140625" bestFit="1" customWidth="1"/>
    <col min="13" max="13" width="11.28515625" bestFit="1" customWidth="1"/>
    <col min="14" max="14" width="4.85546875" bestFit="1" customWidth="1"/>
    <col min="15" max="15" width="21" bestFit="1" customWidth="1"/>
    <col min="16" max="16" width="15.28515625" bestFit="1" customWidth="1"/>
  </cols>
  <sheetData>
    <row r="1" spans="1:16" ht="15.75" x14ac:dyDescent="0.25">
      <c r="A1" s="1"/>
      <c r="B1" s="2"/>
      <c r="C1" s="3" t="s">
        <v>196</v>
      </c>
      <c r="D1" s="3"/>
      <c r="E1" s="3"/>
      <c r="F1" s="3"/>
      <c r="G1" s="3"/>
      <c r="H1" s="3"/>
      <c r="I1" s="3"/>
      <c r="J1" s="3"/>
      <c r="K1" s="1"/>
      <c r="L1" s="4"/>
      <c r="M1" s="1"/>
      <c r="N1" s="1"/>
      <c r="O1" s="1"/>
      <c r="P1" s="1"/>
    </row>
    <row r="2" spans="1:16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5" t="s">
        <v>6</v>
      </c>
      <c r="H2" s="5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5" t="s">
        <v>12</v>
      </c>
      <c r="N2" s="5" t="s">
        <v>13</v>
      </c>
      <c r="O2" s="9" t="s">
        <v>14</v>
      </c>
      <c r="P2" s="7" t="s">
        <v>15</v>
      </c>
    </row>
    <row r="3" spans="1:16" x14ac:dyDescent="0.25">
      <c r="A3" s="10">
        <v>1</v>
      </c>
      <c r="B3" s="11" t="s">
        <v>16</v>
      </c>
      <c r="C3" s="12" t="s">
        <v>17</v>
      </c>
      <c r="D3" s="12" t="s">
        <v>18</v>
      </c>
      <c r="E3" s="11" t="s">
        <v>19</v>
      </c>
      <c r="F3" s="13" t="s">
        <v>20</v>
      </c>
      <c r="G3" s="12" t="s">
        <v>21</v>
      </c>
      <c r="H3" s="14" t="s">
        <v>22</v>
      </c>
      <c r="I3" s="14"/>
      <c r="J3" s="14"/>
      <c r="K3" s="14"/>
      <c r="L3" s="15" t="s">
        <v>23</v>
      </c>
      <c r="M3" s="16">
        <v>45198</v>
      </c>
      <c r="N3" s="11">
        <f t="shared" ref="N3:N28" ca="1" si="0">TODAY()-M3</f>
        <v>805</v>
      </c>
      <c r="O3" s="17" t="s">
        <v>24</v>
      </c>
      <c r="P3" s="17" t="s">
        <v>25</v>
      </c>
    </row>
    <row r="4" spans="1:16" x14ac:dyDescent="0.25">
      <c r="A4" s="10">
        <v>2</v>
      </c>
      <c r="B4" s="18" t="s">
        <v>26</v>
      </c>
      <c r="C4" s="19" t="s">
        <v>27</v>
      </c>
      <c r="D4" s="20" t="s">
        <v>28</v>
      </c>
      <c r="E4" s="11" t="s">
        <v>19</v>
      </c>
      <c r="F4" s="11" t="s">
        <v>29</v>
      </c>
      <c r="G4" s="14" t="s">
        <v>30</v>
      </c>
      <c r="H4" s="21"/>
      <c r="I4" s="21"/>
      <c r="J4" s="14"/>
      <c r="K4" s="14"/>
      <c r="L4" s="15" t="s">
        <v>31</v>
      </c>
      <c r="M4" s="16">
        <v>45229</v>
      </c>
      <c r="N4" s="11">
        <f t="shared" ca="1" si="0"/>
        <v>774</v>
      </c>
      <c r="O4" s="17" t="s">
        <v>32</v>
      </c>
      <c r="P4" s="17" t="s">
        <v>33</v>
      </c>
    </row>
    <row r="5" spans="1:16" x14ac:dyDescent="0.25">
      <c r="A5" s="10">
        <v>3</v>
      </c>
      <c r="B5" s="11" t="s">
        <v>34</v>
      </c>
      <c r="C5" s="22" t="s">
        <v>35</v>
      </c>
      <c r="D5" s="14" t="s">
        <v>36</v>
      </c>
      <c r="E5" s="11" t="s">
        <v>19</v>
      </c>
      <c r="F5" s="13" t="s">
        <v>37</v>
      </c>
      <c r="G5" s="14" t="s">
        <v>38</v>
      </c>
      <c r="H5" s="14"/>
      <c r="I5" s="14"/>
      <c r="J5" s="14"/>
      <c r="K5" s="14"/>
      <c r="L5" s="15" t="s">
        <v>39</v>
      </c>
      <c r="M5" s="16">
        <v>45350</v>
      </c>
      <c r="N5" s="11">
        <f t="shared" ca="1" si="0"/>
        <v>653</v>
      </c>
      <c r="O5" s="17" t="s">
        <v>40</v>
      </c>
      <c r="P5" s="17" t="s">
        <v>41</v>
      </c>
    </row>
    <row r="6" spans="1:16" x14ac:dyDescent="0.25">
      <c r="A6" s="10">
        <v>4</v>
      </c>
      <c r="B6" s="23" t="s">
        <v>42</v>
      </c>
      <c r="C6" s="14" t="s">
        <v>43</v>
      </c>
      <c r="D6" s="12" t="s">
        <v>44</v>
      </c>
      <c r="E6" s="11" t="s">
        <v>19</v>
      </c>
      <c r="F6" s="13" t="s">
        <v>45</v>
      </c>
      <c r="G6" s="14" t="s">
        <v>46</v>
      </c>
      <c r="H6" s="24"/>
      <c r="I6" s="24"/>
      <c r="J6" s="14"/>
      <c r="K6" s="25"/>
      <c r="L6" s="15" t="s">
        <v>47</v>
      </c>
      <c r="M6" s="16">
        <v>45489</v>
      </c>
      <c r="N6" s="11">
        <f t="shared" ca="1" si="0"/>
        <v>514</v>
      </c>
      <c r="O6" s="17" t="s">
        <v>48</v>
      </c>
      <c r="P6" s="17" t="s">
        <v>49</v>
      </c>
    </row>
    <row r="7" spans="1:16" x14ac:dyDescent="0.25">
      <c r="A7" s="10">
        <v>5</v>
      </c>
      <c r="B7" s="23" t="s">
        <v>50</v>
      </c>
      <c r="C7" s="12" t="s">
        <v>51</v>
      </c>
      <c r="D7" s="12" t="s">
        <v>52</v>
      </c>
      <c r="E7" s="11" t="s">
        <v>19</v>
      </c>
      <c r="F7" s="26" t="s">
        <v>53</v>
      </c>
      <c r="G7" s="12" t="s">
        <v>54</v>
      </c>
      <c r="H7" s="14"/>
      <c r="I7" s="14"/>
      <c r="J7" s="14"/>
      <c r="K7" s="14"/>
      <c r="L7" s="14" t="s">
        <v>55</v>
      </c>
      <c r="M7" s="27">
        <v>45535</v>
      </c>
      <c r="N7" s="11">
        <f t="shared" ca="1" si="0"/>
        <v>468</v>
      </c>
      <c r="O7" s="17" t="s">
        <v>56</v>
      </c>
      <c r="P7" s="17" t="s">
        <v>57</v>
      </c>
    </row>
    <row r="8" spans="1:16" x14ac:dyDescent="0.25">
      <c r="A8" s="10">
        <v>6</v>
      </c>
      <c r="B8" s="26" t="s">
        <v>50</v>
      </c>
      <c r="C8" s="12" t="s">
        <v>58</v>
      </c>
      <c r="D8" s="12" t="s">
        <v>52</v>
      </c>
      <c r="E8" s="11" t="s">
        <v>19</v>
      </c>
      <c r="F8" s="28" t="s">
        <v>59</v>
      </c>
      <c r="G8" s="12" t="s">
        <v>60</v>
      </c>
      <c r="H8" s="14" t="s">
        <v>61</v>
      </c>
      <c r="I8" s="14" t="s">
        <v>62</v>
      </c>
      <c r="J8" s="14"/>
      <c r="K8" s="14"/>
      <c r="L8" s="12" t="s">
        <v>63</v>
      </c>
      <c r="M8" s="27">
        <v>45565</v>
      </c>
      <c r="N8" s="11">
        <f t="shared" ca="1" si="0"/>
        <v>438</v>
      </c>
      <c r="O8" s="12" t="s">
        <v>64</v>
      </c>
      <c r="P8" s="12" t="s">
        <v>65</v>
      </c>
    </row>
    <row r="9" spans="1:16" x14ac:dyDescent="0.25">
      <c r="A9" s="10">
        <v>7</v>
      </c>
      <c r="B9" s="11" t="s">
        <v>66</v>
      </c>
      <c r="C9" s="14" t="s">
        <v>67</v>
      </c>
      <c r="D9" s="14" t="s">
        <v>68</v>
      </c>
      <c r="E9" s="29" t="s">
        <v>69</v>
      </c>
      <c r="F9" s="13" t="s">
        <v>70</v>
      </c>
      <c r="G9" s="14" t="s">
        <v>71</v>
      </c>
      <c r="H9" s="14" t="s">
        <v>72</v>
      </c>
      <c r="I9" s="14" t="s">
        <v>73</v>
      </c>
      <c r="J9" s="14"/>
      <c r="K9" s="25"/>
      <c r="L9" s="14" t="s">
        <v>74</v>
      </c>
      <c r="M9" s="30">
        <v>45699</v>
      </c>
      <c r="N9" s="11">
        <f t="shared" ca="1" si="0"/>
        <v>304</v>
      </c>
      <c r="O9" s="31" t="s">
        <v>75</v>
      </c>
      <c r="P9" s="32" t="s">
        <v>76</v>
      </c>
    </row>
    <row r="10" spans="1:16" x14ac:dyDescent="0.25">
      <c r="A10" s="10">
        <v>8</v>
      </c>
      <c r="B10" s="11" t="s">
        <v>77</v>
      </c>
      <c r="C10" s="14" t="s">
        <v>78</v>
      </c>
      <c r="D10" s="14" t="s">
        <v>79</v>
      </c>
      <c r="E10" s="11" t="s">
        <v>19</v>
      </c>
      <c r="F10" s="13" t="s">
        <v>80</v>
      </c>
      <c r="G10" s="14" t="s">
        <v>81</v>
      </c>
      <c r="H10" s="33"/>
      <c r="I10" s="21"/>
      <c r="J10" s="14"/>
      <c r="K10" s="34"/>
      <c r="L10" s="14" t="s">
        <v>82</v>
      </c>
      <c r="M10" s="35">
        <v>45715</v>
      </c>
      <c r="N10" s="11">
        <f t="shared" ca="1" si="0"/>
        <v>288</v>
      </c>
      <c r="O10" s="17" t="s">
        <v>83</v>
      </c>
      <c r="P10" s="31" t="s">
        <v>84</v>
      </c>
    </row>
    <row r="11" spans="1:16" x14ac:dyDescent="0.25">
      <c r="A11" s="10">
        <v>9</v>
      </c>
      <c r="B11" s="26" t="s">
        <v>85</v>
      </c>
      <c r="C11" s="14" t="s">
        <v>86</v>
      </c>
      <c r="D11" s="14" t="s">
        <v>87</v>
      </c>
      <c r="E11" s="11" t="s">
        <v>19</v>
      </c>
      <c r="F11" s="13" t="s">
        <v>88</v>
      </c>
      <c r="G11" s="14" t="s">
        <v>89</v>
      </c>
      <c r="H11" s="14"/>
      <c r="I11" s="14"/>
      <c r="J11" s="14"/>
      <c r="K11" s="34"/>
      <c r="L11" s="14" t="s">
        <v>90</v>
      </c>
      <c r="M11" s="36">
        <v>45721</v>
      </c>
      <c r="N11" s="11">
        <f t="shared" ca="1" si="0"/>
        <v>282</v>
      </c>
      <c r="O11" s="17" t="s">
        <v>91</v>
      </c>
      <c r="P11" s="32" t="s">
        <v>92</v>
      </c>
    </row>
    <row r="12" spans="1:16" x14ac:dyDescent="0.25">
      <c r="A12" s="10">
        <v>10</v>
      </c>
      <c r="B12" s="11" t="s">
        <v>93</v>
      </c>
      <c r="C12" s="14" t="s">
        <v>96</v>
      </c>
      <c r="D12" s="14" t="s">
        <v>94</v>
      </c>
      <c r="E12" s="11" t="s">
        <v>19</v>
      </c>
      <c r="F12" s="37" t="s">
        <v>97</v>
      </c>
      <c r="G12" s="14" t="s">
        <v>95</v>
      </c>
      <c r="H12" s="14"/>
      <c r="I12" s="14"/>
      <c r="J12" s="38"/>
      <c r="K12" s="25"/>
      <c r="L12" s="25" t="s">
        <v>98</v>
      </c>
      <c r="M12" s="30">
        <v>45899</v>
      </c>
      <c r="N12" s="11">
        <f t="shared" ca="1" si="0"/>
        <v>104</v>
      </c>
      <c r="O12" s="14" t="s">
        <v>99</v>
      </c>
      <c r="P12" s="14" t="s">
        <v>100</v>
      </c>
    </row>
    <row r="13" spans="1:16" x14ac:dyDescent="0.25">
      <c r="A13" s="10">
        <v>11</v>
      </c>
      <c r="B13" s="11" t="s">
        <v>93</v>
      </c>
      <c r="C13" s="14" t="s">
        <v>101</v>
      </c>
      <c r="D13" s="14" t="s">
        <v>102</v>
      </c>
      <c r="E13" s="11" t="s">
        <v>19</v>
      </c>
      <c r="F13" s="37" t="s">
        <v>103</v>
      </c>
      <c r="G13" s="14" t="s">
        <v>95</v>
      </c>
      <c r="H13" s="7"/>
      <c r="I13" s="14"/>
      <c r="J13" s="38"/>
      <c r="K13" s="25"/>
      <c r="L13" s="25" t="s">
        <v>104</v>
      </c>
      <c r="M13" s="30">
        <v>45899</v>
      </c>
      <c r="N13" s="11">
        <f t="shared" ca="1" si="0"/>
        <v>104</v>
      </c>
      <c r="O13" s="14" t="s">
        <v>105</v>
      </c>
      <c r="P13" s="14" t="s">
        <v>106</v>
      </c>
    </row>
    <row r="14" spans="1:16" x14ac:dyDescent="0.25">
      <c r="A14" s="10">
        <v>12</v>
      </c>
      <c r="B14" s="11" t="s">
        <v>107</v>
      </c>
      <c r="C14" s="14" t="s">
        <v>86</v>
      </c>
      <c r="D14" s="14" t="s">
        <v>87</v>
      </c>
      <c r="E14" s="11" t="s">
        <v>19</v>
      </c>
      <c r="F14" s="11" t="s">
        <v>108</v>
      </c>
      <c r="G14" s="14" t="s">
        <v>109</v>
      </c>
      <c r="H14" s="39"/>
      <c r="I14" s="33"/>
      <c r="J14" s="38"/>
      <c r="K14" s="14"/>
      <c r="L14" s="25" t="s">
        <v>110</v>
      </c>
      <c r="M14" s="30">
        <v>45927</v>
      </c>
      <c r="N14" s="11">
        <f t="shared" ca="1" si="0"/>
        <v>76</v>
      </c>
      <c r="O14" s="14" t="s">
        <v>111</v>
      </c>
      <c r="P14" s="14" t="s">
        <v>112</v>
      </c>
    </row>
    <row r="15" spans="1:16" x14ac:dyDescent="0.25">
      <c r="A15" s="10">
        <v>13</v>
      </c>
      <c r="B15" s="11" t="s">
        <v>16</v>
      </c>
      <c r="C15" s="14" t="s">
        <v>113</v>
      </c>
      <c r="D15" s="14" t="s">
        <v>114</v>
      </c>
      <c r="E15" s="11" t="s">
        <v>19</v>
      </c>
      <c r="F15" s="11" t="s">
        <v>115</v>
      </c>
      <c r="G15" s="14" t="s">
        <v>116</v>
      </c>
      <c r="H15" s="39"/>
      <c r="I15" s="33"/>
      <c r="J15" s="38"/>
      <c r="K15" s="14"/>
      <c r="L15" s="25" t="s">
        <v>117</v>
      </c>
      <c r="M15" s="30">
        <v>45927</v>
      </c>
      <c r="N15" s="11">
        <f t="shared" ca="1" si="0"/>
        <v>76</v>
      </c>
      <c r="O15" s="14" t="s">
        <v>118</v>
      </c>
      <c r="P15" s="14" t="s">
        <v>119</v>
      </c>
    </row>
    <row r="16" spans="1:16" x14ac:dyDescent="0.25">
      <c r="A16" s="10">
        <v>14</v>
      </c>
      <c r="B16" s="11" t="s">
        <v>16</v>
      </c>
      <c r="C16" s="14" t="s">
        <v>96</v>
      </c>
      <c r="D16" s="14" t="s">
        <v>120</v>
      </c>
      <c r="E16" s="11" t="s">
        <v>19</v>
      </c>
      <c r="F16" s="11" t="s">
        <v>121</v>
      </c>
      <c r="G16" s="14" t="s">
        <v>116</v>
      </c>
      <c r="H16" s="14"/>
      <c r="I16" s="14"/>
      <c r="J16" s="38"/>
      <c r="K16" s="14"/>
      <c r="L16" s="25" t="s">
        <v>122</v>
      </c>
      <c r="M16" s="30">
        <v>45927</v>
      </c>
      <c r="N16" s="11">
        <f t="shared" ca="1" si="0"/>
        <v>76</v>
      </c>
      <c r="O16" s="14" t="s">
        <v>123</v>
      </c>
      <c r="P16" s="14" t="s">
        <v>124</v>
      </c>
    </row>
    <row r="17" spans="1:16" x14ac:dyDescent="0.25">
      <c r="A17" s="10">
        <v>15</v>
      </c>
      <c r="B17" s="11" t="s">
        <v>125</v>
      </c>
      <c r="C17" s="14" t="s">
        <v>126</v>
      </c>
      <c r="D17" s="14" t="s">
        <v>127</v>
      </c>
      <c r="E17" s="11" t="s">
        <v>19</v>
      </c>
      <c r="F17" s="11" t="s">
        <v>128</v>
      </c>
      <c r="G17" s="14" t="s">
        <v>129</v>
      </c>
      <c r="H17" s="14" t="s">
        <v>130</v>
      </c>
      <c r="I17" s="14" t="s">
        <v>131</v>
      </c>
      <c r="J17" s="38"/>
      <c r="K17" s="14"/>
      <c r="L17" s="25" t="s">
        <v>132</v>
      </c>
      <c r="M17" s="30">
        <v>45927</v>
      </c>
      <c r="N17" s="11">
        <f t="shared" ca="1" si="0"/>
        <v>76</v>
      </c>
      <c r="O17" s="14" t="s">
        <v>133</v>
      </c>
      <c r="P17" s="14" t="s">
        <v>134</v>
      </c>
    </row>
    <row r="18" spans="1:16" x14ac:dyDescent="0.25">
      <c r="A18" s="10">
        <v>16</v>
      </c>
      <c r="B18" s="11" t="s">
        <v>135</v>
      </c>
      <c r="C18" s="14" t="s">
        <v>96</v>
      </c>
      <c r="D18" s="14" t="s">
        <v>102</v>
      </c>
      <c r="E18" s="11" t="s">
        <v>19</v>
      </c>
      <c r="F18" s="11" t="s">
        <v>136</v>
      </c>
      <c r="G18" s="14" t="s">
        <v>95</v>
      </c>
      <c r="H18" s="14"/>
      <c r="I18" s="14"/>
      <c r="J18" s="38"/>
      <c r="K18" s="25"/>
      <c r="L18" s="25" t="s">
        <v>137</v>
      </c>
      <c r="M18" s="30">
        <v>45927</v>
      </c>
      <c r="N18" s="11">
        <f t="shared" ca="1" si="0"/>
        <v>76</v>
      </c>
      <c r="O18" s="14" t="s">
        <v>138</v>
      </c>
      <c r="P18" s="14" t="s">
        <v>139</v>
      </c>
    </row>
    <row r="19" spans="1:16" x14ac:dyDescent="0.25">
      <c r="A19" s="10">
        <v>17</v>
      </c>
      <c r="B19" s="11" t="s">
        <v>135</v>
      </c>
      <c r="C19" s="14" t="s">
        <v>140</v>
      </c>
      <c r="D19" s="14" t="s">
        <v>94</v>
      </c>
      <c r="E19" s="11" t="s">
        <v>19</v>
      </c>
      <c r="F19" s="11" t="s">
        <v>141</v>
      </c>
      <c r="G19" s="14" t="s">
        <v>95</v>
      </c>
      <c r="H19" s="14"/>
      <c r="I19" s="14"/>
      <c r="J19" s="38"/>
      <c r="K19" s="25"/>
      <c r="L19" s="25" t="s">
        <v>142</v>
      </c>
      <c r="M19" s="30">
        <v>45927</v>
      </c>
      <c r="N19" s="11">
        <f t="shared" ca="1" si="0"/>
        <v>76</v>
      </c>
      <c r="O19" s="14" t="s">
        <v>143</v>
      </c>
      <c r="P19" s="14" t="s">
        <v>144</v>
      </c>
    </row>
    <row r="20" spans="1:16" x14ac:dyDescent="0.25">
      <c r="A20" s="10">
        <v>18</v>
      </c>
      <c r="B20" s="11" t="s">
        <v>145</v>
      </c>
      <c r="C20" s="14" t="s">
        <v>101</v>
      </c>
      <c r="D20" s="14" t="s">
        <v>146</v>
      </c>
      <c r="E20" s="11" t="s">
        <v>19</v>
      </c>
      <c r="F20" s="11" t="s">
        <v>147</v>
      </c>
      <c r="G20" s="14" t="s">
        <v>89</v>
      </c>
      <c r="H20" s="14"/>
      <c r="I20" s="14"/>
      <c r="J20" s="38"/>
      <c r="K20" s="25"/>
      <c r="L20" s="25" t="s">
        <v>148</v>
      </c>
      <c r="M20" s="30">
        <v>45929</v>
      </c>
      <c r="N20" s="11">
        <f t="shared" ca="1" si="0"/>
        <v>74</v>
      </c>
      <c r="O20" s="14" t="s">
        <v>149</v>
      </c>
      <c r="P20" s="14" t="s">
        <v>150</v>
      </c>
    </row>
    <row r="21" spans="1:16" x14ac:dyDescent="0.25">
      <c r="A21" s="10">
        <v>19</v>
      </c>
      <c r="B21" s="11" t="s">
        <v>145</v>
      </c>
      <c r="C21" s="14" t="s">
        <v>101</v>
      </c>
      <c r="D21" s="14" t="s">
        <v>146</v>
      </c>
      <c r="E21" s="11" t="s">
        <v>19</v>
      </c>
      <c r="F21" s="11" t="s">
        <v>151</v>
      </c>
      <c r="G21" s="14" t="s">
        <v>89</v>
      </c>
      <c r="H21" s="7"/>
      <c r="I21" s="14"/>
      <c r="J21" s="38"/>
      <c r="K21" s="25"/>
      <c r="L21" s="25" t="s">
        <v>152</v>
      </c>
      <c r="M21" s="30">
        <v>45929</v>
      </c>
      <c r="N21" s="11">
        <f t="shared" ca="1" si="0"/>
        <v>74</v>
      </c>
      <c r="O21" s="14" t="s">
        <v>153</v>
      </c>
      <c r="P21" s="14" t="s">
        <v>154</v>
      </c>
    </row>
    <row r="22" spans="1:16" x14ac:dyDescent="0.25">
      <c r="A22" s="10">
        <v>20</v>
      </c>
      <c r="B22" s="11" t="s">
        <v>42</v>
      </c>
      <c r="C22" s="14" t="s">
        <v>101</v>
      </c>
      <c r="D22" s="14" t="s">
        <v>146</v>
      </c>
      <c r="E22" s="29" t="s">
        <v>69</v>
      </c>
      <c r="F22" s="11" t="s">
        <v>155</v>
      </c>
      <c r="G22" s="14" t="s">
        <v>156</v>
      </c>
      <c r="H22" s="14" t="s">
        <v>157</v>
      </c>
      <c r="I22" s="14" t="s">
        <v>158</v>
      </c>
      <c r="J22" s="38"/>
      <c r="K22" s="25"/>
      <c r="L22" s="25" t="s">
        <v>159</v>
      </c>
      <c r="M22" s="30">
        <v>45929</v>
      </c>
      <c r="N22" s="11">
        <f t="shared" ca="1" si="0"/>
        <v>74</v>
      </c>
      <c r="O22" s="14" t="s">
        <v>160</v>
      </c>
      <c r="P22" s="40" t="s">
        <v>161</v>
      </c>
    </row>
    <row r="23" spans="1:16" x14ac:dyDescent="0.25">
      <c r="A23" s="10">
        <v>21</v>
      </c>
      <c r="B23" s="11" t="s">
        <v>16</v>
      </c>
      <c r="C23" s="14" t="s">
        <v>113</v>
      </c>
      <c r="D23" s="14" t="s">
        <v>114</v>
      </c>
      <c r="E23" s="11" t="s">
        <v>19</v>
      </c>
      <c r="F23" s="11" t="s">
        <v>162</v>
      </c>
      <c r="G23" s="14" t="s">
        <v>116</v>
      </c>
      <c r="H23" s="7"/>
      <c r="I23" s="14"/>
      <c r="J23" s="38"/>
      <c r="K23" s="25"/>
      <c r="L23" s="25" t="s">
        <v>163</v>
      </c>
      <c r="M23" s="30">
        <v>45930</v>
      </c>
      <c r="N23" s="11">
        <f t="shared" ca="1" si="0"/>
        <v>73</v>
      </c>
      <c r="O23" s="14" t="s">
        <v>164</v>
      </c>
      <c r="P23" s="14" t="s">
        <v>165</v>
      </c>
    </row>
    <row r="24" spans="1:16" x14ac:dyDescent="0.25">
      <c r="A24" s="10">
        <v>22</v>
      </c>
      <c r="B24" s="11" t="s">
        <v>166</v>
      </c>
      <c r="C24" s="14" t="s">
        <v>101</v>
      </c>
      <c r="D24" s="41" t="s">
        <v>167</v>
      </c>
      <c r="E24" s="29" t="s">
        <v>69</v>
      </c>
      <c r="F24" s="11" t="s">
        <v>168</v>
      </c>
      <c r="G24" s="14" t="s">
        <v>71</v>
      </c>
      <c r="H24" s="14" t="s">
        <v>169</v>
      </c>
      <c r="I24" s="14" t="s">
        <v>170</v>
      </c>
      <c r="J24" s="38"/>
      <c r="K24" s="25"/>
      <c r="L24" s="25" t="s">
        <v>171</v>
      </c>
      <c r="M24" s="30">
        <v>45930</v>
      </c>
      <c r="N24" s="11">
        <f t="shared" ca="1" si="0"/>
        <v>73</v>
      </c>
      <c r="O24" s="14" t="s">
        <v>172</v>
      </c>
      <c r="P24" s="40" t="s">
        <v>173</v>
      </c>
    </row>
    <row r="25" spans="1:16" x14ac:dyDescent="0.25">
      <c r="A25" s="10">
        <v>23</v>
      </c>
      <c r="B25" s="23" t="s">
        <v>174</v>
      </c>
      <c r="C25" s="14" t="s">
        <v>126</v>
      </c>
      <c r="D25" s="14" t="s">
        <v>127</v>
      </c>
      <c r="E25" s="11" t="s">
        <v>19</v>
      </c>
      <c r="F25" s="13" t="s">
        <v>175</v>
      </c>
      <c r="G25" s="14" t="s">
        <v>176</v>
      </c>
      <c r="H25" s="21"/>
      <c r="I25" s="21"/>
      <c r="J25" s="38"/>
      <c r="K25" s="25"/>
      <c r="L25" s="14" t="s">
        <v>177</v>
      </c>
      <c r="M25" s="30">
        <v>45961</v>
      </c>
      <c r="N25" s="11">
        <f t="shared" ca="1" si="0"/>
        <v>42</v>
      </c>
      <c r="O25" s="31" t="s">
        <v>178</v>
      </c>
      <c r="P25" s="31" t="s">
        <v>179</v>
      </c>
    </row>
    <row r="26" spans="1:16" x14ac:dyDescent="0.25">
      <c r="A26" s="10">
        <v>24</v>
      </c>
      <c r="B26" s="11" t="s">
        <v>42</v>
      </c>
      <c r="C26" s="14" t="s">
        <v>43</v>
      </c>
      <c r="D26" s="14" t="s">
        <v>180</v>
      </c>
      <c r="E26" s="11" t="s">
        <v>19</v>
      </c>
      <c r="F26" s="13" t="s">
        <v>181</v>
      </c>
      <c r="G26" s="14" t="s">
        <v>156</v>
      </c>
      <c r="H26" s="11" t="s">
        <v>182</v>
      </c>
      <c r="I26" s="33"/>
      <c r="J26" s="38"/>
      <c r="K26" s="14"/>
      <c r="L26" s="25" t="s">
        <v>183</v>
      </c>
      <c r="M26" s="30">
        <v>45961</v>
      </c>
      <c r="N26" s="11">
        <f t="shared" ca="1" si="0"/>
        <v>42</v>
      </c>
      <c r="O26" s="14" t="s">
        <v>184</v>
      </c>
      <c r="P26" s="40" t="s">
        <v>185</v>
      </c>
    </row>
    <row r="27" spans="1:16" x14ac:dyDescent="0.25">
      <c r="A27" s="10">
        <v>25</v>
      </c>
      <c r="B27" s="23" t="s">
        <v>186</v>
      </c>
      <c r="C27" t="s">
        <v>187</v>
      </c>
      <c r="D27" t="s">
        <v>188</v>
      </c>
      <c r="E27" s="11" t="s">
        <v>19</v>
      </c>
      <c r="F27" s="13" t="s">
        <v>189</v>
      </c>
      <c r="G27" t="s">
        <v>190</v>
      </c>
      <c r="H27" s="11"/>
      <c r="I27" s="21"/>
      <c r="J27" s="38"/>
      <c r="K27" s="25"/>
      <c r="L27" s="25"/>
      <c r="M27" s="30">
        <v>45991</v>
      </c>
      <c r="N27" s="11">
        <f t="shared" ca="1" si="0"/>
        <v>12</v>
      </c>
      <c r="O27" s="14" t="s">
        <v>191</v>
      </c>
      <c r="P27" s="14" t="s">
        <v>192</v>
      </c>
    </row>
    <row r="28" spans="1:16" x14ac:dyDescent="0.25">
      <c r="A28" s="10">
        <v>26</v>
      </c>
      <c r="B28" s="11" t="s">
        <v>93</v>
      </c>
      <c r="C28" s="14" t="s">
        <v>58</v>
      </c>
      <c r="D28" s="14" t="s">
        <v>94</v>
      </c>
      <c r="E28" s="11" t="s">
        <v>19</v>
      </c>
      <c r="F28" s="13" t="s">
        <v>193</v>
      </c>
      <c r="G28" s="14" t="s">
        <v>95</v>
      </c>
      <c r="H28" s="11"/>
      <c r="I28" s="33"/>
      <c r="J28" s="38"/>
      <c r="K28" s="14"/>
      <c r="L28" s="25"/>
      <c r="M28" s="30">
        <v>45991</v>
      </c>
      <c r="N28" s="11">
        <f t="shared" ca="1" si="0"/>
        <v>12</v>
      </c>
      <c r="O28" s="14" t="s">
        <v>194</v>
      </c>
      <c r="P28" s="14" t="s">
        <v>195</v>
      </c>
    </row>
  </sheetData>
  <mergeCells count="1">
    <mergeCell ref="C1:J1"/>
  </mergeCells>
  <conditionalFormatting sqref="F4">
    <cfRule type="duplicateValues" dxfId="31" priority="18"/>
  </conditionalFormatting>
  <conditionalFormatting sqref="F14:F24">
    <cfRule type="duplicateValues" dxfId="30" priority="9"/>
  </conditionalFormatting>
  <conditionalFormatting sqref="F26">
    <cfRule type="duplicateValues" dxfId="29" priority="6"/>
  </conditionalFormatting>
  <conditionalFormatting sqref="F27">
    <cfRule type="duplicateValues" dxfId="28" priority="3"/>
    <cfRule type="duplicateValues" dxfId="27" priority="4"/>
  </conditionalFormatting>
  <conditionalFormatting sqref="F28">
    <cfRule type="duplicateValues" dxfId="26" priority="5"/>
  </conditionalFormatting>
  <conditionalFormatting sqref="F3">
    <cfRule type="duplicateValues" dxfId="25" priority="20"/>
  </conditionalFormatting>
  <conditionalFormatting sqref="F5">
    <cfRule type="duplicateValues" dxfId="24" priority="21"/>
  </conditionalFormatting>
  <conditionalFormatting sqref="F7">
    <cfRule type="duplicateValues" dxfId="23" priority="22"/>
  </conditionalFormatting>
  <conditionalFormatting sqref="F8">
    <cfRule type="duplicateValues" dxfId="20" priority="26"/>
  </conditionalFormatting>
  <conditionalFormatting sqref="F9:F11">
    <cfRule type="duplicateValues" dxfId="19" priority="27"/>
    <cfRule type="duplicateValues" dxfId="18" priority="28"/>
  </conditionalFormatting>
  <conditionalFormatting sqref="F6">
    <cfRule type="duplicateValues" dxfId="17" priority="19"/>
  </conditionalFormatting>
  <conditionalFormatting sqref="F3:F7">
    <cfRule type="duplicateValues" dxfId="16" priority="23"/>
  </conditionalFormatting>
  <conditionalFormatting sqref="O13:P13">
    <cfRule type="duplicateValues" dxfId="15" priority="10"/>
    <cfRule type="duplicateValues" dxfId="14" priority="11"/>
  </conditionalFormatting>
  <conditionalFormatting sqref="O25:P25">
    <cfRule type="duplicateValues" dxfId="13" priority="7"/>
    <cfRule type="duplicateValues" dxfId="12" priority="8"/>
  </conditionalFormatting>
  <conditionalFormatting sqref="O27:P28">
    <cfRule type="duplicateValues" dxfId="11" priority="1"/>
    <cfRule type="duplicateValues" dxfId="10" priority="2"/>
  </conditionalFormatting>
  <conditionalFormatting sqref="O9:P9">
    <cfRule type="duplicateValues" dxfId="9" priority="24"/>
    <cfRule type="duplicateValues" dxfId="8" priority="25"/>
  </conditionalFormatting>
  <conditionalFormatting sqref="O12:P12">
    <cfRule type="duplicateValues" dxfId="7" priority="31"/>
    <cfRule type="duplicateValues" dxfId="6" priority="32"/>
  </conditionalFormatting>
  <conditionalFormatting sqref="P10">
    <cfRule type="duplicateValues" dxfId="5" priority="16"/>
    <cfRule type="duplicateValues" dxfId="4" priority="17"/>
  </conditionalFormatting>
  <conditionalFormatting sqref="P11">
    <cfRule type="duplicateValues" dxfId="1" priority="29"/>
    <cfRule type="duplicateValues" dxfId="0" priority="3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admin5</dc:creator>
  <cp:lastModifiedBy>admin5</cp:lastModifiedBy>
  <dcterms:created xsi:type="dcterms:W3CDTF">2025-12-12T07:44:46Z</dcterms:created>
  <dcterms:modified xsi:type="dcterms:W3CDTF">2025-12-12T07:45:28Z</dcterms:modified>
</cp:coreProperties>
</file>