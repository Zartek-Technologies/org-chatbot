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 drve\Desktop files\RETAIL\2025\"/>
    </mc:Choice>
  </mc:AlternateContent>
  <xr:revisionPtr revIDLastSave="0" documentId="13_ncr:1_{B7C4F0DE-EEBB-4734-86CA-7CE7A1C8BB3D}" xr6:coauthVersionLast="47" xr6:coauthVersionMax="47" xr10:uidLastSave="{00000000-0000-0000-0000-000000000000}"/>
  <bookViews>
    <workbookView xWindow="-120" yWindow="-120" windowWidth="20730" windowHeight="11040" xr2:uid="{0A1C022A-7E5B-41AD-9AE2-B33124D0A9CF}"/>
  </bookViews>
  <sheets>
    <sheet name="Sheet1" sheetId="1" r:id="rId1"/>
  </sheets>
  <definedNames>
    <definedName name="_xlnm._FilterDatabase" localSheetId="0" hidden="1">Sheet1!$A$2:$AI$55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5" i="1" l="1"/>
  <c r="N54" i="1"/>
  <c r="N53" i="1"/>
  <c r="N52" i="1"/>
  <c r="N51" i="1"/>
  <c r="N49" i="1"/>
  <c r="N47" i="1" l="1"/>
  <c r="N46" i="1"/>
  <c r="N45" i="1"/>
  <c r="N44" i="1"/>
  <c r="N43" i="1"/>
  <c r="N42" i="1"/>
  <c r="N41" i="1"/>
  <c r="N40" i="1"/>
  <c r="N50" i="1"/>
</calcChain>
</file>

<file path=xl/sharedStrings.xml><?xml version="1.0" encoding="utf-8"?>
<sst xmlns="http://schemas.openxmlformats.org/spreadsheetml/2006/main" count="674" uniqueCount="384">
  <si>
    <t>Sl.No</t>
  </si>
  <si>
    <t>Model</t>
  </si>
  <si>
    <t>Color</t>
  </si>
  <si>
    <t>Trim</t>
  </si>
  <si>
    <t>Type</t>
  </si>
  <si>
    <t xml:space="preserve">Comm no </t>
  </si>
  <si>
    <t>Product Name</t>
  </si>
  <si>
    <t>Customer Name</t>
  </si>
  <si>
    <t>SC</t>
  </si>
  <si>
    <t>Bkng.Dt.</t>
  </si>
  <si>
    <t>Status</t>
  </si>
  <si>
    <t>SCC DONE</t>
  </si>
  <si>
    <t>Code</t>
  </si>
  <si>
    <t>Inv.Dt.</t>
  </si>
  <si>
    <t>Chassis no</t>
  </si>
  <si>
    <t>Engine</t>
  </si>
  <si>
    <t>Trans.ID</t>
  </si>
  <si>
    <t>Corporate</t>
  </si>
  <si>
    <t>C 220d</t>
  </si>
  <si>
    <t>Yard</t>
  </si>
  <si>
    <t>W206 C 220d</t>
  </si>
  <si>
    <t>V167 GLE 300d 4MATIC AMG Line</t>
  </si>
  <si>
    <t>GLC220d</t>
  </si>
  <si>
    <t>PDI</t>
  </si>
  <si>
    <t>Anandhu</t>
  </si>
  <si>
    <t>104A-BROWN</t>
  </si>
  <si>
    <t>135-BEIGE</t>
  </si>
  <si>
    <t>125A-ARTICO BEIGE</t>
  </si>
  <si>
    <t>149-POLAR WHITE</t>
  </si>
  <si>
    <t>197U-obsidian black</t>
  </si>
  <si>
    <t>X254 GLC 220d 4MATIC</t>
  </si>
  <si>
    <t>197-OBSIDIAN BLACK</t>
  </si>
  <si>
    <t>105A-LEATHERETTE - BEIGE</t>
  </si>
  <si>
    <t>GLS 450d</t>
  </si>
  <si>
    <t>124-BROWN</t>
  </si>
  <si>
    <t>X167 GLS 450d 4MATIC</t>
  </si>
  <si>
    <t>E220d</t>
  </si>
  <si>
    <t>197U-OBSIDIAN BLACK</t>
  </si>
  <si>
    <t>V214 E 220d</t>
  </si>
  <si>
    <t>149U-POLAR WHITE - NON-METALLI</t>
  </si>
  <si>
    <t>Trnst</t>
  </si>
  <si>
    <t>TRSR</t>
  </si>
  <si>
    <t>104A-ARTICO - BROWN</t>
  </si>
  <si>
    <t>Ameer</t>
  </si>
  <si>
    <t>MARCH RETAIL &amp; SALES CARD CAPTURE</t>
  </si>
  <si>
    <t>0482585441</t>
  </si>
  <si>
    <t>Sareeshkumar MK</t>
  </si>
  <si>
    <t>Vishnu</t>
  </si>
  <si>
    <t>March invcd</t>
  </si>
  <si>
    <t>W1KLG0EBXSL004437</t>
  </si>
  <si>
    <t>65482080267708</t>
  </si>
  <si>
    <t>105-BEIGE</t>
  </si>
  <si>
    <t>0482580226</t>
  </si>
  <si>
    <t>Anvar N P</t>
  </si>
  <si>
    <t>Nizamudheen</t>
  </si>
  <si>
    <t>W1KAF0EBXSL017618</t>
  </si>
  <si>
    <t>65482080234191</t>
  </si>
  <si>
    <t>0482583485</t>
  </si>
  <si>
    <t>SIYAD V A</t>
  </si>
  <si>
    <t>W1NFF3DE2SM028967</t>
  </si>
  <si>
    <t>65683080045686</t>
  </si>
  <si>
    <t>0482583435</t>
  </si>
  <si>
    <t>Bijesh Kumar Elipparambath</t>
  </si>
  <si>
    <t>W1NFF3DE9SM028917</t>
  </si>
  <si>
    <t>65683080045610</t>
  </si>
  <si>
    <t>0482585460</t>
  </si>
  <si>
    <t>Aboobacker M U</t>
  </si>
  <si>
    <t>Irshad</t>
  </si>
  <si>
    <t>W1KLG0EBXSL004468</t>
  </si>
  <si>
    <t>65482080267691</t>
  </si>
  <si>
    <t>GLS 600</t>
  </si>
  <si>
    <t>842U-sodalite blue metallic</t>
  </si>
  <si>
    <t>514A-Maybach Exclusive nappa l</t>
  </si>
  <si>
    <t>0482511140</t>
  </si>
  <si>
    <t>CBU X167 Mercedes-Maybach GLS 600</t>
  </si>
  <si>
    <t>Director Tablez Properties Pvt Ltd</t>
  </si>
  <si>
    <t>Shahabas</t>
  </si>
  <si>
    <t>W1NFF8HB6SB301496</t>
  </si>
  <si>
    <t>17798030094208</t>
  </si>
  <si>
    <t>GLA 220d4M AMG Line</t>
  </si>
  <si>
    <t>651A-DINAMICA MICRO FIBER BLAC</t>
  </si>
  <si>
    <t>0382582553</t>
  </si>
  <si>
    <t>001 CKD H247 GLA 220d 4MATIC AMG Line 149 651</t>
  </si>
  <si>
    <t>A M Iktear Uddin</t>
  </si>
  <si>
    <t>Nidhin-04/03</t>
  </si>
  <si>
    <t>March invcd/dlvrd</t>
  </si>
  <si>
    <t>VH0000001670</t>
  </si>
  <si>
    <t>W1N4N1FB2RL014035</t>
  </si>
  <si>
    <t>654920V0397075</t>
  </si>
  <si>
    <t>MARCH DEMO RETAIL</t>
  </si>
  <si>
    <t>842-SODALITH BLUE</t>
  </si>
  <si>
    <t>0482584003</t>
  </si>
  <si>
    <t>VH0000002012</t>
  </si>
  <si>
    <t>W1KAF0EBXSL018011</t>
  </si>
  <si>
    <t>65482080257648</t>
  </si>
  <si>
    <t>0482584020</t>
  </si>
  <si>
    <t>VH0000002013</t>
  </si>
  <si>
    <t>W1KAF0EB5SL018028</t>
  </si>
  <si>
    <t>65482080257701</t>
  </si>
  <si>
    <t>0482584129</t>
  </si>
  <si>
    <t>VH0000002014</t>
  </si>
  <si>
    <t>W1NKM0FB4SL009185</t>
  </si>
  <si>
    <t>65482080258273</t>
  </si>
  <si>
    <t>GLE300D4M</t>
  </si>
  <si>
    <t>0482584667</t>
  </si>
  <si>
    <t>VH0000002015</t>
  </si>
  <si>
    <t>W1NFB0KB8SM029933</t>
  </si>
  <si>
    <t>65482080258050</t>
  </si>
  <si>
    <t>0482584697</t>
  </si>
  <si>
    <t>VH0000002016</t>
  </si>
  <si>
    <t>W1NFB0KB6SM029963</t>
  </si>
  <si>
    <t>65482080258077</t>
  </si>
  <si>
    <t>GLA220d4M</t>
  </si>
  <si>
    <t>149U-POLAR WHITE</t>
  </si>
  <si>
    <t>0482586083</t>
  </si>
  <si>
    <t>H247 GLA 220d 4MATIC</t>
  </si>
  <si>
    <t>VH0000002017</t>
  </si>
  <si>
    <t>W1N4N1FB4SL017301</t>
  </si>
  <si>
    <t>654920V0520059</t>
  </si>
  <si>
    <t>191U-COSMOS BLACK</t>
  </si>
  <si>
    <t>0482584488</t>
  </si>
  <si>
    <t>001 H247 GLA 220d 4MATIC 191 105</t>
  </si>
  <si>
    <t>VH0000002018</t>
  </si>
  <si>
    <t>W1N4N1FB3SL017242</t>
  </si>
  <si>
    <t>654920V0517367</t>
  </si>
  <si>
    <t>0482583850</t>
  </si>
  <si>
    <t>VH0000002019</t>
  </si>
  <si>
    <t>W1KLG0EB4SL004322</t>
  </si>
  <si>
    <t>65482080257729</t>
  </si>
  <si>
    <t>MARCH DEMO WHOLESALE</t>
  </si>
  <si>
    <t>IN2510042524</t>
  </si>
  <si>
    <t>IN2510068405</t>
  </si>
  <si>
    <t>IN2510070060</t>
  </si>
  <si>
    <t>IN2510072123</t>
  </si>
  <si>
    <t>IN2510058209</t>
  </si>
  <si>
    <t>IN2510081170</t>
  </si>
  <si>
    <t>EQB 250+</t>
  </si>
  <si>
    <t>149U-Polar White</t>
  </si>
  <si>
    <t>391-ARTICO man-made leather</t>
  </si>
  <si>
    <t>0482511335</t>
  </si>
  <si>
    <t>CBU X243 EQB 250+</t>
  </si>
  <si>
    <t>Tinsu Mathew, True Sun Trading Co</t>
  </si>
  <si>
    <t>Anish Alexander</t>
  </si>
  <si>
    <t>W1N9M0CBXSN115051</t>
  </si>
  <si>
    <t>78020021515999</t>
  </si>
  <si>
    <t>885-OPALITH WHITE</t>
  </si>
  <si>
    <t>104-BROWN</t>
  </si>
  <si>
    <t>0482583980</t>
  </si>
  <si>
    <t>Jiyas Meethale Chengalath</t>
  </si>
  <si>
    <t>W1KAF0EBXSL017988</t>
  </si>
  <si>
    <t>65482080257650</t>
  </si>
  <si>
    <t>124A-ARTICO BROWN</t>
  </si>
  <si>
    <t>0482585634</t>
  </si>
  <si>
    <t>Vijayakumar T R Proprietor ELITE DISTILLERIES AND BEVERAGES CO</t>
  </si>
  <si>
    <t>Midhun Krishna</t>
  </si>
  <si>
    <t>W1KLG0EB9SL004834</t>
  </si>
  <si>
    <t>65482080267775</t>
  </si>
  <si>
    <t>EQA 250 +</t>
  </si>
  <si>
    <t>993U-patagonia red</t>
  </si>
  <si>
    <t>391-two-tone rosé gold / titan</t>
  </si>
  <si>
    <t>0482511236</t>
  </si>
  <si>
    <t>CBU H243 EQA 250 +</t>
  </si>
  <si>
    <t>Dr. Cijo Cyriac</t>
  </si>
  <si>
    <t>W1N9N0CB5SJ141741</t>
  </si>
  <si>
    <t>78020021508660</t>
  </si>
  <si>
    <t>IN2510072656</t>
  </si>
  <si>
    <t>IN2510068421</t>
  </si>
  <si>
    <t>IN2510061782</t>
  </si>
  <si>
    <t>IN2510074951</t>
  </si>
  <si>
    <t>970U-SPECTRAL BLUE</t>
  </si>
  <si>
    <t>651A- DINAMICA BLACK</t>
  </si>
  <si>
    <t>0382582527</t>
  </si>
  <si>
    <t>001 CKD H247 GLA 220d 4MATIC AMG Line 970 651</t>
  </si>
  <si>
    <t>Gireesh Damodaran</t>
  </si>
  <si>
    <t>Safeer-29/01</t>
  </si>
  <si>
    <t>VH0000001998</t>
  </si>
  <si>
    <t>W1N4N1FB1RL014009</t>
  </si>
  <si>
    <t>654920V0397111</t>
  </si>
  <si>
    <t>A45 AMG 4MATIC</t>
  </si>
  <si>
    <t>662U-DESIGNO MOUNTAIN GREY</t>
  </si>
  <si>
    <t>671A-ARTICO DYNAMICA SPORTS</t>
  </si>
  <si>
    <t>0482510564</t>
  </si>
  <si>
    <t>001 CBU W177 Mercedes-AMG A 45 S 4MATIC+ 662 671</t>
  </si>
  <si>
    <t>Triangle Property Developers</t>
  </si>
  <si>
    <t>Josbin-11/03</t>
  </si>
  <si>
    <t>VH0003300018</t>
  </si>
  <si>
    <t>W1K3F5EB4SN343568</t>
  </si>
  <si>
    <t>0482580219</t>
  </si>
  <si>
    <t>Jobin Thomas</t>
  </si>
  <si>
    <t>Ajmal</t>
  </si>
  <si>
    <t>W1KAF0EB7SL017611</t>
  </si>
  <si>
    <t>65482080234186</t>
  </si>
  <si>
    <t>GLA 200</t>
  </si>
  <si>
    <t>105A-ARTICO - BEIGE</t>
  </si>
  <si>
    <t>0482582697</t>
  </si>
  <si>
    <t>GLA200</t>
  </si>
  <si>
    <t>Sijo P K Proprietor Life Care</t>
  </si>
  <si>
    <t>Munshar</t>
  </si>
  <si>
    <t>W1N4N8HB1SL017083</t>
  </si>
  <si>
    <t>28281480260824</t>
  </si>
  <si>
    <t>ARTICO man-made leather</t>
  </si>
  <si>
    <t>0482511349</t>
  </si>
  <si>
    <t>Lement Foundation</t>
  </si>
  <si>
    <t>Nafi</t>
  </si>
  <si>
    <t>W1N9M0CB3SN115795</t>
  </si>
  <si>
    <t>78020021517005</t>
  </si>
  <si>
    <t>A200</t>
  </si>
  <si>
    <t>0482580698</t>
  </si>
  <si>
    <t>V177 A 200</t>
  </si>
  <si>
    <t>NK SUKUMARAN NAIR</t>
  </si>
  <si>
    <t>W1K3G8HB8SL010294</t>
  </si>
  <si>
    <t>28281480253813</t>
  </si>
  <si>
    <t>885U-OPALITH WHITE</t>
  </si>
  <si>
    <t>SRM</t>
  </si>
  <si>
    <t>0482576279</t>
  </si>
  <si>
    <t>Benson Mathew Proprietor BEN GOLD</t>
  </si>
  <si>
    <t>Liji</t>
  </si>
  <si>
    <t>W1KAF0EB5RL016791</t>
  </si>
  <si>
    <t>65482080209336</t>
  </si>
  <si>
    <t>0482585555</t>
  </si>
  <si>
    <t>Dr. Mohammed Faisal Kari Managing Partner Dr Faisals Relief Speciality Dental Care LLP</t>
  </si>
  <si>
    <t>Safeer</t>
  </si>
  <si>
    <t>W1KLG0EB2SL004755</t>
  </si>
  <si>
    <t>65482080267876</t>
  </si>
  <si>
    <t>0482576355</t>
  </si>
  <si>
    <t>K C Vysakh Chandran</t>
  </si>
  <si>
    <t>W1KAF0EB1RL017131</t>
  </si>
  <si>
    <t>65482080209410</t>
  </si>
  <si>
    <t>0482584462</t>
  </si>
  <si>
    <t>GLA220D4M</t>
  </si>
  <si>
    <t>Abraham Punnoose</t>
  </si>
  <si>
    <t>W1N4N1FB2SL017216</t>
  </si>
  <si>
    <t>654920V0517318</t>
  </si>
  <si>
    <t>IN2510084551</t>
  </si>
  <si>
    <t>IN2510101223</t>
  </si>
  <si>
    <t>IN2510070777</t>
  </si>
  <si>
    <t>IN2510090298</t>
  </si>
  <si>
    <t>IN2510101708</t>
  </si>
  <si>
    <t>IN2510090252</t>
  </si>
  <si>
    <t>IN2510078054</t>
  </si>
  <si>
    <t>GLE300d4M</t>
  </si>
  <si>
    <t>0482584691</t>
  </si>
  <si>
    <t>Muhammed Rafeek</t>
  </si>
  <si>
    <t>Alvin</t>
  </si>
  <si>
    <t>W1NFB0KB0SM029957</t>
  </si>
  <si>
    <t>65482080258069</t>
  </si>
  <si>
    <t>0482584572</t>
  </si>
  <si>
    <t>Sajeev Muhammed</t>
  </si>
  <si>
    <t>W1NFB0KB2SM029670</t>
  </si>
  <si>
    <t>65482080257949</t>
  </si>
  <si>
    <t>0482583776</t>
  </si>
  <si>
    <t>Moidu Kallangodan</t>
  </si>
  <si>
    <t>Thamjeed</t>
  </si>
  <si>
    <t>W1KLG0EB9SL003960</t>
  </si>
  <si>
    <t>65482080257713</t>
  </si>
  <si>
    <t>GLC3004M</t>
  </si>
  <si>
    <t>149U-polar white</t>
  </si>
  <si>
    <t>105A-BEIGE</t>
  </si>
  <si>
    <t>0482582240</t>
  </si>
  <si>
    <t>X254 GLC 300 4MATIC</t>
  </si>
  <si>
    <t>Joshy Cherian P</t>
  </si>
  <si>
    <t>W1NKM4HB3SL008808</t>
  </si>
  <si>
    <t>254920V0720590</t>
  </si>
  <si>
    <t>0482583997</t>
  </si>
  <si>
    <t>Fathimathul Sherin M</t>
  </si>
  <si>
    <t>Nidhin</t>
  </si>
  <si>
    <t>W1KAF0EB4SL018005</t>
  </si>
  <si>
    <t>65482080257662</t>
  </si>
  <si>
    <t>0482584352</t>
  </si>
  <si>
    <t>Ramdas Padinchare Chirayil</t>
  </si>
  <si>
    <t>W1NKM4HB3SL009456</t>
  </si>
  <si>
    <t>254920V0766752</t>
  </si>
  <si>
    <t>0482584704</t>
  </si>
  <si>
    <t>Riyas V A Proprietor</t>
  </si>
  <si>
    <t>W1NFB0KB3SM029970</t>
  </si>
  <si>
    <t>65482080257989</t>
  </si>
  <si>
    <t>0482584987</t>
  </si>
  <si>
    <t>Shemeer Perumparambath Mohammed</t>
  </si>
  <si>
    <t>W1NFF3DEXSM029557</t>
  </si>
  <si>
    <t>65683080049103</t>
  </si>
  <si>
    <t>970U-Spectral blue</t>
  </si>
  <si>
    <t>0482586018</t>
  </si>
  <si>
    <t>Jayanthi V C</t>
  </si>
  <si>
    <t>Josbin</t>
  </si>
  <si>
    <t>W1NKM4HB1SL009634</t>
  </si>
  <si>
    <t>254920V0789268</t>
  </si>
  <si>
    <t>IN2510091503</t>
  </si>
  <si>
    <t>IN2510055895</t>
  </si>
  <si>
    <t>IN2510102101</t>
  </si>
  <si>
    <t>IN2510101174</t>
  </si>
  <si>
    <t>IN2510097971</t>
  </si>
  <si>
    <t>IN2510099652</t>
  </si>
  <si>
    <t>IN2510101452</t>
  </si>
  <si>
    <t>IN2510098627</t>
  </si>
  <si>
    <t>IN2510100879</t>
  </si>
  <si>
    <t>0482580591</t>
  </si>
  <si>
    <t>001 X254 GLC 220d 4MATIC 149 105</t>
  </si>
  <si>
    <t>Jestin K George</t>
  </si>
  <si>
    <t>Josbin-22/03</t>
  </si>
  <si>
    <t>VH0000001553</t>
  </si>
  <si>
    <t>W1NKM0FB9SL008551</t>
  </si>
  <si>
    <t>E200</t>
  </si>
  <si>
    <t>0482573071</t>
  </si>
  <si>
    <t>001 V214 E 200 197 124</t>
  </si>
  <si>
    <t>White Inn Pvt Ltd</t>
  </si>
  <si>
    <t>Thamjeed-28/02</t>
  </si>
  <si>
    <t>VH0000001281</t>
  </si>
  <si>
    <t>W1KLG5AB6SL000551</t>
  </si>
  <si>
    <t>254920V0564713</t>
  </si>
  <si>
    <t>EQS450 4M</t>
  </si>
  <si>
    <t>989U-SMARAGD GREEN</t>
  </si>
  <si>
    <t>209A-LEDER - GELB / WEISS</t>
  </si>
  <si>
    <t>0482581607</t>
  </si>
  <si>
    <t>X296 EQS SUV 450 4MATIC</t>
  </si>
  <si>
    <t>ABDUL AZEEZ</t>
  </si>
  <si>
    <t>W1NDM2EB4SM000423</t>
  </si>
  <si>
    <t>78060020306495</t>
  </si>
  <si>
    <t>0482580235</t>
  </si>
  <si>
    <t>Kottayil Ramesan Proprietor</t>
  </si>
  <si>
    <t>W1KAF0EB0SL017627</t>
  </si>
  <si>
    <t>65482080234188</t>
  </si>
  <si>
    <t>595U-NAUTIK BLUE</t>
  </si>
  <si>
    <t>0482585515</t>
  </si>
  <si>
    <t>Dr. Shanu Mullaveettil</t>
  </si>
  <si>
    <t>W1KLG0EB6SL004595</t>
  </si>
  <si>
    <t>65482080267829</t>
  </si>
  <si>
    <t>0482581573</t>
  </si>
  <si>
    <t>Haris P</t>
  </si>
  <si>
    <t>W1NDM2EB8SM000389</t>
  </si>
  <si>
    <t>78060020296010</t>
  </si>
  <si>
    <t>0482584087</t>
  </si>
  <si>
    <t>Haroon Rasheed Poyilintavida Managing Partner AJ Gold and Diamonds</t>
  </si>
  <si>
    <t>Maneesh</t>
  </si>
  <si>
    <t>W1NKM0FBXSL009143</t>
  </si>
  <si>
    <t>65482080258164</t>
  </si>
  <si>
    <t>IN2510108198</t>
  </si>
  <si>
    <t>IN2510076359</t>
  </si>
  <si>
    <t>IN2510105747</t>
  </si>
  <si>
    <t>IN2510102089</t>
  </si>
  <si>
    <t>IN2510087835</t>
  </si>
  <si>
    <t>March invcd/</t>
  </si>
  <si>
    <t>AMG GLC43C</t>
  </si>
  <si>
    <t xml:space="preserve">
651A-black with red contrastin</t>
  </si>
  <si>
    <t>0482510910</t>
  </si>
  <si>
    <t>CBU C254 Mercedes-AMG GLC 43 Coupe</t>
  </si>
  <si>
    <t>Diamond Food Products</t>
  </si>
  <si>
    <t>Rahul-12/03</t>
  </si>
  <si>
    <t>VH0000001349</t>
  </si>
  <si>
    <t>W1NKJ8HB2SF253999</t>
  </si>
  <si>
    <t>13958060038633</t>
  </si>
  <si>
    <t>0382582438</t>
  </si>
  <si>
    <t>001 CKD H247 GLA 200 149 105</t>
  </si>
  <si>
    <t>Jiji Cherian</t>
  </si>
  <si>
    <t>Josbin-14/03</t>
  </si>
  <si>
    <t>VH0000001641</t>
  </si>
  <si>
    <t>W1N4N8HB1RL013920</t>
  </si>
  <si>
    <t>0482583774</t>
  </si>
  <si>
    <t>Shifana Sharaf</t>
  </si>
  <si>
    <t>W1KLG0EB0SL003958</t>
  </si>
  <si>
    <t>65482080257799</t>
  </si>
  <si>
    <t>IN2510091746</t>
  </si>
  <si>
    <t>149-Polar White</t>
  </si>
  <si>
    <t>0482584956</t>
  </si>
  <si>
    <t>Abdu Rahiman K</t>
  </si>
  <si>
    <t>W1NFF3DEXSM029526</t>
  </si>
  <si>
    <t>65683080049022</t>
  </si>
  <si>
    <t>IN2510094760</t>
  </si>
  <si>
    <t>0482584120</t>
  </si>
  <si>
    <t>Channethodi Rajeev</t>
  </si>
  <si>
    <t>Basil</t>
  </si>
  <si>
    <t>W1NKM0FB3SL009176</t>
  </si>
  <si>
    <t>65482080258260</t>
  </si>
  <si>
    <t>662U-MANUFAKTUR Mountain Grey</t>
  </si>
  <si>
    <t>0482511701</t>
  </si>
  <si>
    <t>Muhammed Hanas Koraliyadan Managing Partner KANNANCHERY JEWELLERS</t>
  </si>
  <si>
    <t>W1N9M0CB0SN125345</t>
  </si>
  <si>
    <t>78020021528347</t>
  </si>
  <si>
    <t>IN2510067066</t>
  </si>
  <si>
    <t>IN2510099339</t>
  </si>
  <si>
    <t>BNI</t>
  </si>
  <si>
    <t>IN2510094130</t>
  </si>
  <si>
    <t>Doctor</t>
  </si>
  <si>
    <t>Advocate</t>
  </si>
  <si>
    <t>Blue Chip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</si>
</sst>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orpoS"/>
    </font>
    <font>
      <b/>
      <sz val="11"/>
      <name val="CorpoS"/>
    </font>
    <font>
      <sz val="11"/>
      <color theme="1"/>
      <name val="CorpoS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orpoS"/>
    </font>
    <font>
      <sz val="11"/>
      <name val="CorpoS"/>
      <family val="2"/>
    </font>
    <font>
      <b/>
      <sz val="11"/>
      <color rgb="FF000000"/>
      <name val="Aptos Narrow"/>
      <family val="2"/>
      <scheme val="minor"/>
    </font>
    <font>
      <sz val="1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0" xfId="0" applyFont="1"/>
    <xf numFmtId="0" fontId="6" fillId="0" borderId="3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3" xfId="0" quotePrefix="1" applyBorder="1" applyAlignment="1">
      <alignment horizontal="center"/>
    </xf>
    <xf numFmtId="14" fontId="5" fillId="0" borderId="3" xfId="0" applyNumberFormat="1" applyFont="1" applyBorder="1" applyAlignment="1">
      <alignment horizontal="right"/>
    </xf>
    <xf numFmtId="0" fontId="5" fillId="0" borderId="3" xfId="0" applyFont="1" applyBorder="1"/>
    <xf numFmtId="0" fontId="0" fillId="4" borderId="3" xfId="0" applyFill="1" applyBorder="1" applyAlignment="1">
      <alignment horizontal="center"/>
    </xf>
    <xf numFmtId="14" fontId="8" fillId="0" borderId="3" xfId="0" applyNumberFormat="1" applyFont="1" applyBorder="1"/>
    <xf numFmtId="0" fontId="6" fillId="0" borderId="3" xfId="0" applyFont="1" applyBorder="1"/>
    <xf numFmtId="0" fontId="0" fillId="0" borderId="3" xfId="0" applyBorder="1" applyAlignment="1">
      <alignment vertical="top"/>
    </xf>
    <xf numFmtId="0" fontId="0" fillId="0" borderId="3" xfId="0" applyBorder="1" applyAlignment="1">
      <alignment horizontal="center"/>
    </xf>
    <xf numFmtId="0" fontId="6" fillId="0" borderId="3" xfId="0" applyFont="1" applyBorder="1" applyAlignment="1">
      <alignment horizontal="left"/>
    </xf>
    <xf numFmtId="0" fontId="10" fillId="3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6" fillId="0" borderId="3" xfId="0" quotePrefix="1" applyFont="1" applyBorder="1"/>
    <xf numFmtId="0" fontId="5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14" fontId="0" fillId="0" borderId="3" xfId="0" applyNumberFormat="1" applyBorder="1" applyAlignment="1">
      <alignment horizontal="left" vertical="top"/>
    </xf>
    <xf numFmtId="0" fontId="10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" fillId="0" borderId="3" xfId="2" quotePrefix="1" applyBorder="1"/>
    <xf numFmtId="14" fontId="1" fillId="0" borderId="3" xfId="0" applyNumberFormat="1" applyFont="1" applyBorder="1" applyAlignment="1">
      <alignment horizontal="left"/>
    </xf>
    <xf numFmtId="1" fontId="1" fillId="0" borderId="3" xfId="0" applyNumberFormat="1" applyFont="1" applyBorder="1" applyAlignment="1">
      <alignment horizontal="left"/>
    </xf>
    <xf numFmtId="14" fontId="5" fillId="0" borderId="3" xfId="0" applyNumberFormat="1" applyFont="1" applyBorder="1"/>
    <xf numFmtId="0" fontId="0" fillId="0" borderId="3" xfId="0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14" fontId="5" fillId="0" borderId="3" xfId="0" applyNumberFormat="1" applyFont="1" applyBorder="1" applyAlignment="1">
      <alignment horizontal="left"/>
    </xf>
    <xf numFmtId="0" fontId="6" fillId="0" borderId="3" xfId="1" applyFont="1" applyBorder="1"/>
    <xf numFmtId="14" fontId="0" fillId="0" borderId="3" xfId="0" applyNumberFormat="1" applyBorder="1" applyAlignment="1">
      <alignment horizontal="center"/>
    </xf>
    <xf numFmtId="0" fontId="11" fillId="0" borderId="3" xfId="0" applyFont="1" applyBorder="1"/>
    <xf numFmtId="0" fontId="9" fillId="0" borderId="3" xfId="0" applyFont="1" applyBorder="1" applyAlignment="1">
      <alignment horizontal="left"/>
    </xf>
    <xf numFmtId="14" fontId="5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14" fontId="5" fillId="0" borderId="5" xfId="0" applyNumberFormat="1" applyFont="1" applyBorder="1" applyAlignment="1">
      <alignment horizontal="left"/>
    </xf>
    <xf numFmtId="0" fontId="9" fillId="4" borderId="3" xfId="0" applyFont="1" applyFill="1" applyBorder="1" applyAlignment="1">
      <alignment horizontal="center"/>
    </xf>
    <xf numFmtId="0" fontId="6" fillId="0" borderId="0" xfId="0" applyFont="1"/>
    <xf numFmtId="0" fontId="0" fillId="5" borderId="3" xfId="0" applyFill="1" applyBorder="1"/>
    <xf numFmtId="0" fontId="0" fillId="5" borderId="3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3" borderId="3" xfId="0" applyFill="1" applyBorder="1" applyAlignment="1">
      <alignment horizontal="center"/>
    </xf>
    <xf numFmtId="0" fontId="0" fillId="0" borderId="3" xfId="0" quotePrefix="1" applyBorder="1" applyAlignment="1">
      <alignment horizontal="center" vertical="top"/>
    </xf>
    <xf numFmtId="0" fontId="0" fillId="0" borderId="3" xfId="0" quotePrefix="1" applyBorder="1"/>
    <xf numFmtId="17" fontId="5" fillId="0" borderId="3" xfId="0" applyNumberFormat="1" applyFont="1" applyBorder="1"/>
    <xf numFmtId="17" fontId="0" fillId="0" borderId="3" xfId="0" applyNumberFormat="1" applyBorder="1"/>
    <xf numFmtId="0" fontId="11" fillId="0" borderId="3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3">
    <cellStyle name="Normal" xfId="0" builtinId="0"/>
    <cellStyle name="Normal 4" xfId="2" xr:uid="{EDB4C08D-5B81-4BD0-9CE6-1BF961A2A0CB}"/>
    <cellStyle name="Normal 63" xfId="1" xr:uid="{3F271896-FD0A-41DD-AB89-A88A8BA1F7A9}"/>
  </cellStyles>
  <dxfs count="2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3314-CFEC-4178-89A2-6E7C598D8A82}">
  <dimension ref="A1:V61"/>
  <sheetViews>
    <sheetView tabSelected="1" workbookViewId="0">
      <selection activeCell="C14" sqref="C14"/>
    </sheetView>
  </sheetViews>
  <sheetFormatPr defaultRowHeight="15" x14ac:dyDescent="0.25"/>
  <cols>
    <col min="1" max="1" width="6.7109375" customWidth="1"/>
    <col min="2" max="2" width="12.7109375" customWidth="1"/>
    <col min="3" max="3" width="18.28515625" customWidth="1"/>
    <col min="4" max="4" width="19.85546875" customWidth="1"/>
    <col min="6" max="6" width="12.5703125" style="1" customWidth="1"/>
    <col min="7" max="7" width="34.28515625" customWidth="1"/>
    <col min="8" max="8" width="24.140625" customWidth="1"/>
    <col min="9" max="9" width="12.5703125" customWidth="1"/>
    <col min="10" max="10" width="11.28515625" customWidth="1"/>
    <col min="11" max="11" width="18.42578125" bestFit="1" customWidth="1"/>
    <col min="12" max="12" width="14.28515625" bestFit="1" customWidth="1"/>
    <col min="13" max="13" width="11" customWidth="1"/>
    <col min="14" max="14" width="12.7109375" style="1" customWidth="1"/>
    <col min="15" max="15" width="20.85546875" customWidth="1"/>
    <col min="16" max="16" width="16.140625" customWidth="1"/>
    <col min="17" max="17" width="13.140625" bestFit="1" customWidth="1"/>
    <col min="18" max="18" width="12.42578125" bestFit="1" customWidth="1"/>
  </cols>
  <sheetData>
    <row r="1" spans="1:19" ht="18" customHeight="1" x14ac:dyDescent="0.25">
      <c r="F1" s="57" t="s">
        <v>44</v>
      </c>
      <c r="G1" s="57"/>
      <c r="H1" s="57"/>
      <c r="I1" s="58"/>
    </row>
    <row r="2" spans="1:19" x14ac:dyDescent="0.25">
      <c r="A2" s="2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4" t="s">
        <v>5</v>
      </c>
      <c r="G2" s="2" t="s">
        <v>6</v>
      </c>
      <c r="H2" s="2" t="s">
        <v>7</v>
      </c>
      <c r="I2" s="5" t="s">
        <v>8</v>
      </c>
      <c r="J2" s="6" t="s">
        <v>9</v>
      </c>
      <c r="K2" s="5" t="s">
        <v>10</v>
      </c>
      <c r="L2" s="7" t="s">
        <v>11</v>
      </c>
      <c r="M2" s="2" t="s">
        <v>12</v>
      </c>
      <c r="N2" s="8" t="s">
        <v>13</v>
      </c>
      <c r="O2" s="8" t="s">
        <v>14</v>
      </c>
      <c r="P2" s="5" t="s">
        <v>15</v>
      </c>
      <c r="Q2" s="9" t="s">
        <v>16</v>
      </c>
      <c r="R2" s="9" t="s">
        <v>17</v>
      </c>
    </row>
    <row r="3" spans="1:19" s="10" customFormat="1" x14ac:dyDescent="0.25">
      <c r="A3" s="11">
        <v>1</v>
      </c>
      <c r="B3" s="12" t="s">
        <v>36</v>
      </c>
      <c r="C3" s="13" t="s">
        <v>29</v>
      </c>
      <c r="D3" s="13" t="s">
        <v>27</v>
      </c>
      <c r="E3" s="23" t="s">
        <v>23</v>
      </c>
      <c r="F3" s="14" t="s">
        <v>45</v>
      </c>
      <c r="G3" s="13" t="s">
        <v>38</v>
      </c>
      <c r="H3" s="13" t="s">
        <v>46</v>
      </c>
      <c r="I3" s="13" t="s">
        <v>47</v>
      </c>
      <c r="J3" s="15">
        <v>45687</v>
      </c>
      <c r="K3" s="13" t="s">
        <v>48</v>
      </c>
      <c r="L3" s="16" t="s">
        <v>11</v>
      </c>
      <c r="M3" s="17">
        <v>3418396</v>
      </c>
      <c r="N3" s="18">
        <v>45720</v>
      </c>
      <c r="O3" s="19" t="s">
        <v>49</v>
      </c>
      <c r="P3" s="19" t="s">
        <v>50</v>
      </c>
      <c r="Q3" s="19" t="s">
        <v>130</v>
      </c>
      <c r="R3" s="16" t="s">
        <v>383</v>
      </c>
      <c r="S3"/>
    </row>
    <row r="4" spans="1:19" s="10" customFormat="1" x14ac:dyDescent="0.25">
      <c r="A4" s="11">
        <v>2</v>
      </c>
      <c r="B4" s="12" t="s">
        <v>18</v>
      </c>
      <c r="C4" s="13" t="s">
        <v>31</v>
      </c>
      <c r="D4" s="13" t="s">
        <v>51</v>
      </c>
      <c r="E4" s="21" t="s">
        <v>19</v>
      </c>
      <c r="F4" s="14" t="s">
        <v>52</v>
      </c>
      <c r="G4" s="13" t="s">
        <v>20</v>
      </c>
      <c r="H4" s="13" t="s">
        <v>53</v>
      </c>
      <c r="I4" s="13" t="s">
        <v>54</v>
      </c>
      <c r="J4" s="15">
        <v>45715</v>
      </c>
      <c r="K4" s="13" t="s">
        <v>48</v>
      </c>
      <c r="L4" s="16" t="s">
        <v>11</v>
      </c>
      <c r="M4" s="17">
        <v>154800</v>
      </c>
      <c r="N4" s="18">
        <v>45721</v>
      </c>
      <c r="O4" s="19" t="s">
        <v>55</v>
      </c>
      <c r="P4" s="19" t="s">
        <v>56</v>
      </c>
      <c r="Q4" s="19" t="s">
        <v>131</v>
      </c>
      <c r="R4" s="16" t="s">
        <v>379</v>
      </c>
      <c r="S4"/>
    </row>
    <row r="5" spans="1:19" s="10" customFormat="1" x14ac:dyDescent="0.25">
      <c r="A5" s="11">
        <v>3</v>
      </c>
      <c r="B5" s="12" t="s">
        <v>33</v>
      </c>
      <c r="C5" s="13" t="s">
        <v>31</v>
      </c>
      <c r="D5" s="13" t="s">
        <v>34</v>
      </c>
      <c r="E5" s="21" t="s">
        <v>19</v>
      </c>
      <c r="F5" s="14" t="s">
        <v>57</v>
      </c>
      <c r="G5" s="13" t="s">
        <v>35</v>
      </c>
      <c r="H5" s="13" t="s">
        <v>58</v>
      </c>
      <c r="I5" s="13" t="s">
        <v>24</v>
      </c>
      <c r="J5" s="15">
        <v>45676</v>
      </c>
      <c r="K5" s="13" t="s">
        <v>48</v>
      </c>
      <c r="L5" s="16" t="s">
        <v>11</v>
      </c>
      <c r="M5" s="17">
        <v>3421616</v>
      </c>
      <c r="N5" s="18">
        <v>45727</v>
      </c>
      <c r="O5" s="19" t="s">
        <v>59</v>
      </c>
      <c r="P5" s="19" t="s">
        <v>60</v>
      </c>
      <c r="Q5" s="19" t="s">
        <v>132</v>
      </c>
      <c r="R5" s="16" t="s">
        <v>379</v>
      </c>
      <c r="S5"/>
    </row>
    <row r="6" spans="1:19" s="10" customFormat="1" x14ac:dyDescent="0.25">
      <c r="A6" s="11">
        <v>4</v>
      </c>
      <c r="B6" s="12" t="s">
        <v>33</v>
      </c>
      <c r="C6" s="13" t="s">
        <v>28</v>
      </c>
      <c r="D6" s="13" t="s">
        <v>26</v>
      </c>
      <c r="E6" s="23" t="s">
        <v>23</v>
      </c>
      <c r="F6" s="14" t="s">
        <v>61</v>
      </c>
      <c r="G6" s="13" t="s">
        <v>35</v>
      </c>
      <c r="H6" s="13" t="s">
        <v>62</v>
      </c>
      <c r="I6" s="13" t="s">
        <v>43</v>
      </c>
      <c r="J6" s="15">
        <v>45722</v>
      </c>
      <c r="K6" s="13" t="s">
        <v>48</v>
      </c>
      <c r="L6" s="16" t="s">
        <v>11</v>
      </c>
      <c r="M6" s="17">
        <v>3419113</v>
      </c>
      <c r="N6" s="18">
        <v>45729</v>
      </c>
      <c r="O6" s="19" t="s">
        <v>63</v>
      </c>
      <c r="P6" s="25" t="s">
        <v>64</v>
      </c>
      <c r="Q6" s="19" t="s">
        <v>133</v>
      </c>
      <c r="R6" s="16"/>
      <c r="S6"/>
    </row>
    <row r="7" spans="1:19" s="10" customFormat="1" x14ac:dyDescent="0.25">
      <c r="A7" s="11">
        <v>5</v>
      </c>
      <c r="B7" s="12" t="s">
        <v>36</v>
      </c>
      <c r="C7" s="13" t="s">
        <v>37</v>
      </c>
      <c r="D7" s="13" t="s">
        <v>27</v>
      </c>
      <c r="E7" s="23" t="s">
        <v>23</v>
      </c>
      <c r="F7" s="14" t="s">
        <v>65</v>
      </c>
      <c r="G7" s="13" t="s">
        <v>38</v>
      </c>
      <c r="H7" s="13" t="s">
        <v>66</v>
      </c>
      <c r="I7" s="13" t="s">
        <v>67</v>
      </c>
      <c r="J7" s="15">
        <v>45713</v>
      </c>
      <c r="K7" s="13" t="s">
        <v>48</v>
      </c>
      <c r="L7" s="16" t="s">
        <v>11</v>
      </c>
      <c r="M7" s="17">
        <v>153126</v>
      </c>
      <c r="N7" s="18">
        <v>45729</v>
      </c>
      <c r="O7" s="19" t="s">
        <v>68</v>
      </c>
      <c r="P7" s="25" t="s">
        <v>69</v>
      </c>
      <c r="Q7" s="19" t="s">
        <v>134</v>
      </c>
      <c r="R7" s="16" t="s">
        <v>379</v>
      </c>
      <c r="S7"/>
    </row>
    <row r="8" spans="1:19" s="10" customFormat="1" x14ac:dyDescent="0.25">
      <c r="A8" s="11">
        <v>6</v>
      </c>
      <c r="B8" s="13" t="s">
        <v>70</v>
      </c>
      <c r="C8" s="13" t="s">
        <v>71</v>
      </c>
      <c r="D8" s="13" t="s">
        <v>72</v>
      </c>
      <c r="E8" s="44" t="s">
        <v>41</v>
      </c>
      <c r="F8" s="14" t="s">
        <v>73</v>
      </c>
      <c r="G8" s="13" t="s">
        <v>74</v>
      </c>
      <c r="H8" s="12" t="s">
        <v>75</v>
      </c>
      <c r="I8" s="12" t="s">
        <v>76</v>
      </c>
      <c r="J8" s="15">
        <v>45381</v>
      </c>
      <c r="K8" s="13" t="s">
        <v>48</v>
      </c>
      <c r="L8" s="16" t="s">
        <v>11</v>
      </c>
      <c r="M8" s="46">
        <v>2433849</v>
      </c>
      <c r="N8" s="18">
        <v>45730</v>
      </c>
      <c r="O8" s="19" t="s">
        <v>77</v>
      </c>
      <c r="P8" s="25" t="s">
        <v>78</v>
      </c>
      <c r="Q8" s="19" t="s">
        <v>135</v>
      </c>
      <c r="R8" s="16"/>
      <c r="S8"/>
    </row>
    <row r="9" spans="1:19" s="10" customFormat="1" x14ac:dyDescent="0.25">
      <c r="A9" s="11">
        <v>7</v>
      </c>
      <c r="B9" s="13" t="s">
        <v>136</v>
      </c>
      <c r="C9" s="13" t="s">
        <v>137</v>
      </c>
      <c r="D9" s="13" t="s">
        <v>138</v>
      </c>
      <c r="E9" s="23" t="s">
        <v>23</v>
      </c>
      <c r="F9" s="14" t="s">
        <v>139</v>
      </c>
      <c r="G9" s="13" t="s">
        <v>140</v>
      </c>
      <c r="H9" s="13" t="s">
        <v>141</v>
      </c>
      <c r="I9" s="13" t="s">
        <v>142</v>
      </c>
      <c r="J9" s="15">
        <v>45722</v>
      </c>
      <c r="K9" s="13" t="s">
        <v>48</v>
      </c>
      <c r="L9" s="16" t="s">
        <v>11</v>
      </c>
      <c r="M9" s="17">
        <v>3291248</v>
      </c>
      <c r="N9" s="18">
        <v>45731</v>
      </c>
      <c r="O9" s="19" t="s">
        <v>143</v>
      </c>
      <c r="P9" s="19" t="s">
        <v>144</v>
      </c>
      <c r="Q9" s="19" t="s">
        <v>165</v>
      </c>
      <c r="R9" s="16" t="s">
        <v>379</v>
      </c>
      <c r="S9"/>
    </row>
    <row r="10" spans="1:19" s="10" customFormat="1" x14ac:dyDescent="0.25">
      <c r="A10" s="11">
        <v>8</v>
      </c>
      <c r="B10" s="12" t="s">
        <v>18</v>
      </c>
      <c r="C10" s="13" t="s">
        <v>145</v>
      </c>
      <c r="D10" s="13" t="s">
        <v>146</v>
      </c>
      <c r="E10" s="23" t="s">
        <v>23</v>
      </c>
      <c r="F10" s="14" t="s">
        <v>147</v>
      </c>
      <c r="G10" s="13" t="s">
        <v>20</v>
      </c>
      <c r="H10" s="13" t="s">
        <v>148</v>
      </c>
      <c r="I10" s="13" t="s">
        <v>67</v>
      </c>
      <c r="J10" s="15">
        <v>45720</v>
      </c>
      <c r="K10" s="13" t="s">
        <v>48</v>
      </c>
      <c r="L10" s="16" t="s">
        <v>11</v>
      </c>
      <c r="M10" s="17">
        <v>159497</v>
      </c>
      <c r="N10" s="18">
        <v>45733</v>
      </c>
      <c r="O10" s="19" t="s">
        <v>149</v>
      </c>
      <c r="P10" s="25" t="s">
        <v>150</v>
      </c>
      <c r="Q10" s="19" t="s">
        <v>166</v>
      </c>
      <c r="R10" s="16" t="s">
        <v>379</v>
      </c>
      <c r="S10"/>
    </row>
    <row r="11" spans="1:19" s="10" customFormat="1" x14ac:dyDescent="0.25">
      <c r="A11" s="11">
        <v>9</v>
      </c>
      <c r="B11" s="12" t="s">
        <v>36</v>
      </c>
      <c r="C11" s="13" t="s">
        <v>137</v>
      </c>
      <c r="D11" s="13" t="s">
        <v>151</v>
      </c>
      <c r="E11" s="23" t="s">
        <v>23</v>
      </c>
      <c r="F11" s="14" t="s">
        <v>152</v>
      </c>
      <c r="G11" s="13" t="s">
        <v>38</v>
      </c>
      <c r="H11" s="13" t="s">
        <v>153</v>
      </c>
      <c r="I11" s="13" t="s">
        <v>154</v>
      </c>
      <c r="J11" s="15">
        <v>45680</v>
      </c>
      <c r="K11" s="13" t="s">
        <v>48</v>
      </c>
      <c r="L11" s="16" t="s">
        <v>11</v>
      </c>
      <c r="M11" s="17">
        <v>3422662</v>
      </c>
      <c r="N11" s="18">
        <v>45735</v>
      </c>
      <c r="O11" s="19" t="s">
        <v>155</v>
      </c>
      <c r="P11" s="19" t="s">
        <v>156</v>
      </c>
      <c r="Q11" s="19" t="s">
        <v>167</v>
      </c>
      <c r="R11" s="16" t="s">
        <v>379</v>
      </c>
      <c r="S11"/>
    </row>
    <row r="12" spans="1:19" s="10" customFormat="1" x14ac:dyDescent="0.25">
      <c r="A12" s="11">
        <v>10</v>
      </c>
      <c r="B12" s="13" t="s">
        <v>157</v>
      </c>
      <c r="C12" s="13" t="s">
        <v>158</v>
      </c>
      <c r="D12" s="13" t="s">
        <v>159</v>
      </c>
      <c r="E12" s="23" t="s">
        <v>23</v>
      </c>
      <c r="F12" s="14" t="s">
        <v>160</v>
      </c>
      <c r="G12" s="13" t="s">
        <v>161</v>
      </c>
      <c r="H12" s="13" t="s">
        <v>162</v>
      </c>
      <c r="I12" s="13" t="s">
        <v>142</v>
      </c>
      <c r="J12" s="15">
        <v>45723</v>
      </c>
      <c r="K12" s="13" t="s">
        <v>48</v>
      </c>
      <c r="L12" s="16" t="s">
        <v>11</v>
      </c>
      <c r="M12" s="17">
        <v>3423275</v>
      </c>
      <c r="N12" s="18">
        <v>45738</v>
      </c>
      <c r="O12" s="19" t="s">
        <v>163</v>
      </c>
      <c r="P12" s="19" t="s">
        <v>164</v>
      </c>
      <c r="Q12" s="19" t="s">
        <v>168</v>
      </c>
      <c r="R12" s="16" t="s">
        <v>381</v>
      </c>
      <c r="S12"/>
    </row>
    <row r="13" spans="1:19" s="10" customFormat="1" x14ac:dyDescent="0.25">
      <c r="A13" s="11">
        <v>11</v>
      </c>
      <c r="B13" s="12" t="s">
        <v>18</v>
      </c>
      <c r="C13" s="13" t="s">
        <v>145</v>
      </c>
      <c r="D13" s="13" t="s">
        <v>146</v>
      </c>
      <c r="E13" s="23" t="s">
        <v>23</v>
      </c>
      <c r="F13" s="14" t="s">
        <v>187</v>
      </c>
      <c r="G13" s="13" t="s">
        <v>20</v>
      </c>
      <c r="H13" s="13" t="s">
        <v>188</v>
      </c>
      <c r="I13" s="13" t="s">
        <v>189</v>
      </c>
      <c r="J13" s="15">
        <v>45734</v>
      </c>
      <c r="K13" s="13" t="s">
        <v>48</v>
      </c>
      <c r="L13" s="16" t="s">
        <v>11</v>
      </c>
      <c r="M13" s="17">
        <v>3387387</v>
      </c>
      <c r="N13" s="18">
        <v>45738</v>
      </c>
      <c r="O13" s="19" t="s">
        <v>190</v>
      </c>
      <c r="P13" s="25" t="s">
        <v>191</v>
      </c>
      <c r="Q13" s="19" t="s">
        <v>380</v>
      </c>
      <c r="R13" s="16" t="s">
        <v>379</v>
      </c>
      <c r="S13"/>
    </row>
    <row r="14" spans="1:19" s="10" customFormat="1" x14ac:dyDescent="0.25">
      <c r="A14" s="11">
        <v>12</v>
      </c>
      <c r="B14" s="41" t="s">
        <v>112</v>
      </c>
      <c r="C14" s="13" t="s">
        <v>137</v>
      </c>
      <c r="D14" s="13" t="s">
        <v>193</v>
      </c>
      <c r="E14" s="23" t="s">
        <v>23</v>
      </c>
      <c r="F14" s="14" t="s">
        <v>228</v>
      </c>
      <c r="G14" s="13" t="s">
        <v>229</v>
      </c>
      <c r="H14" s="13" t="s">
        <v>230</v>
      </c>
      <c r="I14" s="13" t="s">
        <v>142</v>
      </c>
      <c r="J14" s="15">
        <v>45726</v>
      </c>
      <c r="K14" s="13" t="s">
        <v>48</v>
      </c>
      <c r="L14" s="16" t="s">
        <v>11</v>
      </c>
      <c r="M14" s="17">
        <v>2696990</v>
      </c>
      <c r="N14" s="18">
        <v>45741</v>
      </c>
      <c r="O14" s="19" t="s">
        <v>231</v>
      </c>
      <c r="P14" s="19" t="s">
        <v>232</v>
      </c>
      <c r="Q14" s="19" t="s">
        <v>239</v>
      </c>
      <c r="R14" s="16" t="s">
        <v>379</v>
      </c>
      <c r="S14"/>
    </row>
    <row r="15" spans="1:19" s="10" customFormat="1" x14ac:dyDescent="0.25">
      <c r="A15" s="11">
        <v>13</v>
      </c>
      <c r="B15" s="12" t="s">
        <v>192</v>
      </c>
      <c r="C15" s="13" t="s">
        <v>137</v>
      </c>
      <c r="D15" s="13" t="s">
        <v>193</v>
      </c>
      <c r="E15" s="23" t="s">
        <v>23</v>
      </c>
      <c r="F15" s="14" t="s">
        <v>194</v>
      </c>
      <c r="G15" s="13" t="s">
        <v>195</v>
      </c>
      <c r="H15" s="13" t="s">
        <v>196</v>
      </c>
      <c r="I15" s="13" t="s">
        <v>197</v>
      </c>
      <c r="J15" s="15">
        <v>45728</v>
      </c>
      <c r="K15" s="13" t="s">
        <v>48</v>
      </c>
      <c r="L15" s="16" t="s">
        <v>11</v>
      </c>
      <c r="M15" s="17">
        <v>163305</v>
      </c>
      <c r="N15" s="18">
        <v>45742</v>
      </c>
      <c r="O15" s="19" t="s">
        <v>198</v>
      </c>
      <c r="P15" s="19" t="s">
        <v>199</v>
      </c>
      <c r="Q15" s="19" t="s">
        <v>233</v>
      </c>
      <c r="R15" s="16" t="s">
        <v>379</v>
      </c>
      <c r="S15"/>
    </row>
    <row r="16" spans="1:19" s="10" customFormat="1" x14ac:dyDescent="0.25">
      <c r="A16" s="11">
        <v>14</v>
      </c>
      <c r="B16" s="12" t="s">
        <v>18</v>
      </c>
      <c r="C16" s="13" t="s">
        <v>29</v>
      </c>
      <c r="D16" s="13" t="s">
        <v>193</v>
      </c>
      <c r="E16" s="23" t="s">
        <v>23</v>
      </c>
      <c r="F16" s="14" t="s">
        <v>224</v>
      </c>
      <c r="G16" s="13" t="s">
        <v>20</v>
      </c>
      <c r="H16" s="13" t="s">
        <v>225</v>
      </c>
      <c r="I16" s="13" t="s">
        <v>216</v>
      </c>
      <c r="J16" s="15">
        <v>45735</v>
      </c>
      <c r="K16" s="13" t="s">
        <v>48</v>
      </c>
      <c r="L16" s="16" t="s">
        <v>11</v>
      </c>
      <c r="M16" s="17">
        <v>2950446</v>
      </c>
      <c r="N16" s="18">
        <v>45743</v>
      </c>
      <c r="O16" s="19" t="s">
        <v>226</v>
      </c>
      <c r="P16" s="19" t="s">
        <v>227</v>
      </c>
      <c r="Q16" s="47" t="s">
        <v>234</v>
      </c>
      <c r="R16" s="16" t="s">
        <v>379</v>
      </c>
      <c r="S16"/>
    </row>
    <row r="17" spans="1:20" s="10" customFormat="1" x14ac:dyDescent="0.25">
      <c r="A17" s="11">
        <v>15</v>
      </c>
      <c r="B17" s="13" t="s">
        <v>136</v>
      </c>
      <c r="C17" s="12" t="s">
        <v>158</v>
      </c>
      <c r="D17" s="12" t="s">
        <v>200</v>
      </c>
      <c r="E17" s="23" t="s">
        <v>23</v>
      </c>
      <c r="F17" s="14" t="s">
        <v>201</v>
      </c>
      <c r="G17" s="13" t="s">
        <v>136</v>
      </c>
      <c r="H17" s="12" t="s">
        <v>202</v>
      </c>
      <c r="I17" s="12" t="s">
        <v>203</v>
      </c>
      <c r="J17" s="15">
        <v>45721</v>
      </c>
      <c r="K17" s="13" t="s">
        <v>48</v>
      </c>
      <c r="L17" s="16" t="s">
        <v>11</v>
      </c>
      <c r="M17" s="17">
        <v>160038</v>
      </c>
      <c r="N17" s="18">
        <v>45743</v>
      </c>
      <c r="O17" s="19" t="s">
        <v>204</v>
      </c>
      <c r="P17" s="25" t="s">
        <v>205</v>
      </c>
      <c r="Q17" s="19" t="s">
        <v>235</v>
      </c>
      <c r="R17" s="16" t="s">
        <v>379</v>
      </c>
      <c r="S17"/>
    </row>
    <row r="18" spans="1:20" s="10" customFormat="1" x14ac:dyDescent="0.25">
      <c r="A18" s="11">
        <v>16</v>
      </c>
      <c r="B18" s="12" t="s">
        <v>206</v>
      </c>
      <c r="C18" s="13" t="s">
        <v>137</v>
      </c>
      <c r="D18" s="13" t="s">
        <v>32</v>
      </c>
      <c r="E18" s="23" t="s">
        <v>23</v>
      </c>
      <c r="F18" s="14" t="s">
        <v>207</v>
      </c>
      <c r="G18" s="13" t="s">
        <v>208</v>
      </c>
      <c r="H18" s="13" t="s">
        <v>209</v>
      </c>
      <c r="I18" s="13" t="s">
        <v>24</v>
      </c>
      <c r="J18" s="15">
        <v>45732</v>
      </c>
      <c r="K18" s="13" t="s">
        <v>48</v>
      </c>
      <c r="L18" s="16" t="s">
        <v>11</v>
      </c>
      <c r="M18" s="17">
        <v>164430</v>
      </c>
      <c r="N18" s="18">
        <v>45743</v>
      </c>
      <c r="O18" s="19" t="s">
        <v>210</v>
      </c>
      <c r="P18" s="19" t="s">
        <v>211</v>
      </c>
      <c r="Q18" s="19" t="s">
        <v>236</v>
      </c>
      <c r="R18" s="16" t="s">
        <v>379</v>
      </c>
      <c r="S18"/>
    </row>
    <row r="19" spans="1:20" s="10" customFormat="1" x14ac:dyDescent="0.25">
      <c r="A19" s="11">
        <v>17</v>
      </c>
      <c r="B19" s="12" t="s">
        <v>18</v>
      </c>
      <c r="C19" s="13" t="s">
        <v>212</v>
      </c>
      <c r="D19" s="13" t="s">
        <v>42</v>
      </c>
      <c r="E19" s="44" t="s">
        <v>213</v>
      </c>
      <c r="F19" s="14" t="s">
        <v>214</v>
      </c>
      <c r="G19" s="13" t="s">
        <v>20</v>
      </c>
      <c r="H19" s="19" t="s">
        <v>215</v>
      </c>
      <c r="I19" s="13" t="s">
        <v>216</v>
      </c>
      <c r="J19" s="15">
        <v>45740</v>
      </c>
      <c r="K19" s="13" t="s">
        <v>48</v>
      </c>
      <c r="L19" s="16" t="s">
        <v>11</v>
      </c>
      <c r="M19" s="17">
        <v>163363</v>
      </c>
      <c r="N19" s="18">
        <v>45743</v>
      </c>
      <c r="O19" s="19" t="s">
        <v>217</v>
      </c>
      <c r="P19" s="25" t="s">
        <v>218</v>
      </c>
      <c r="Q19" s="19" t="s">
        <v>237</v>
      </c>
      <c r="R19" s="16" t="s">
        <v>379</v>
      </c>
      <c r="S19"/>
    </row>
    <row r="20" spans="1:20" s="10" customFormat="1" x14ac:dyDescent="0.25">
      <c r="A20" s="11">
        <v>18</v>
      </c>
      <c r="B20" s="12" t="s">
        <v>36</v>
      </c>
      <c r="C20" s="13" t="s">
        <v>137</v>
      </c>
      <c r="D20" s="13" t="s">
        <v>27</v>
      </c>
      <c r="E20" s="23" t="s">
        <v>23</v>
      </c>
      <c r="F20" s="14" t="s">
        <v>219</v>
      </c>
      <c r="G20" s="13" t="s">
        <v>38</v>
      </c>
      <c r="H20" s="13" t="s">
        <v>220</v>
      </c>
      <c r="I20" s="13" t="s">
        <v>221</v>
      </c>
      <c r="J20" s="15">
        <v>45732</v>
      </c>
      <c r="K20" s="13" t="s">
        <v>48</v>
      </c>
      <c r="L20" s="16" t="s">
        <v>11</v>
      </c>
      <c r="M20" s="17">
        <v>3415694</v>
      </c>
      <c r="N20" s="18">
        <v>45744</v>
      </c>
      <c r="O20" s="19" t="s">
        <v>222</v>
      </c>
      <c r="P20" s="25" t="s">
        <v>223</v>
      </c>
      <c r="Q20" s="19" t="s">
        <v>238</v>
      </c>
      <c r="R20" s="16" t="s">
        <v>381</v>
      </c>
      <c r="S20"/>
    </row>
    <row r="21" spans="1:20" s="10" customFormat="1" x14ac:dyDescent="0.25">
      <c r="A21" s="11">
        <v>19</v>
      </c>
      <c r="B21" s="12" t="s">
        <v>240</v>
      </c>
      <c r="C21" s="13" t="s">
        <v>31</v>
      </c>
      <c r="D21" s="13" t="s">
        <v>34</v>
      </c>
      <c r="E21" s="23" t="s">
        <v>23</v>
      </c>
      <c r="F21" s="14" t="s">
        <v>241</v>
      </c>
      <c r="G21" s="13" t="s">
        <v>21</v>
      </c>
      <c r="H21" s="13" t="s">
        <v>242</v>
      </c>
      <c r="I21" s="13" t="s">
        <v>243</v>
      </c>
      <c r="J21" s="15">
        <v>45733</v>
      </c>
      <c r="K21" s="13" t="s">
        <v>48</v>
      </c>
      <c r="L21" s="16" t="s">
        <v>11</v>
      </c>
      <c r="M21" s="17">
        <v>3413965</v>
      </c>
      <c r="N21" s="18">
        <v>45744</v>
      </c>
      <c r="O21" s="19" t="s">
        <v>244</v>
      </c>
      <c r="P21" s="19" t="s">
        <v>245</v>
      </c>
      <c r="Q21" s="19" t="s">
        <v>286</v>
      </c>
      <c r="R21" s="16" t="s">
        <v>379</v>
      </c>
      <c r="S21"/>
    </row>
    <row r="22" spans="1:20" s="10" customFormat="1" x14ac:dyDescent="0.25">
      <c r="A22" s="11">
        <v>20</v>
      </c>
      <c r="B22" s="12" t="s">
        <v>240</v>
      </c>
      <c r="C22" s="13" t="s">
        <v>28</v>
      </c>
      <c r="D22" s="13" t="s">
        <v>26</v>
      </c>
      <c r="E22" s="21" t="s">
        <v>19</v>
      </c>
      <c r="F22" s="14" t="s">
        <v>246</v>
      </c>
      <c r="G22" s="13" t="s">
        <v>21</v>
      </c>
      <c r="H22" s="13" t="s">
        <v>247</v>
      </c>
      <c r="I22" s="13" t="s">
        <v>47</v>
      </c>
      <c r="J22" s="15">
        <v>45712</v>
      </c>
      <c r="K22" s="13" t="s">
        <v>48</v>
      </c>
      <c r="L22" s="16" t="s">
        <v>11</v>
      </c>
      <c r="M22" s="17">
        <v>3348837</v>
      </c>
      <c r="N22" s="18">
        <v>45744</v>
      </c>
      <c r="O22" s="19" t="s">
        <v>248</v>
      </c>
      <c r="P22" s="19" t="s">
        <v>249</v>
      </c>
      <c r="Q22" s="19" t="s">
        <v>287</v>
      </c>
      <c r="R22" s="16"/>
      <c r="S22"/>
    </row>
    <row r="23" spans="1:20" x14ac:dyDescent="0.25">
      <c r="A23" s="11">
        <v>21</v>
      </c>
      <c r="B23" s="24" t="s">
        <v>255</v>
      </c>
      <c r="C23" s="13" t="s">
        <v>256</v>
      </c>
      <c r="D23" s="13" t="s">
        <v>257</v>
      </c>
      <c r="E23" s="21" t="s">
        <v>40</v>
      </c>
      <c r="F23" s="14" t="s">
        <v>258</v>
      </c>
      <c r="G23" s="40" t="s">
        <v>259</v>
      </c>
      <c r="H23" s="48" t="s">
        <v>260</v>
      </c>
      <c r="I23" s="49" t="s">
        <v>216</v>
      </c>
      <c r="J23" s="13"/>
      <c r="K23" s="13" t="s">
        <v>48</v>
      </c>
      <c r="L23" s="16" t="s">
        <v>11</v>
      </c>
      <c r="M23" s="17">
        <v>166481</v>
      </c>
      <c r="N23" s="18">
        <v>45744</v>
      </c>
      <c r="O23" s="19" t="s">
        <v>261</v>
      </c>
      <c r="P23" s="19" t="s">
        <v>262</v>
      </c>
      <c r="Q23" s="19" t="s">
        <v>288</v>
      </c>
      <c r="R23" s="16" t="s">
        <v>379</v>
      </c>
      <c r="T23" s="50"/>
    </row>
    <row r="24" spans="1:20" x14ac:dyDescent="0.25">
      <c r="A24" s="11">
        <v>22</v>
      </c>
      <c r="B24" s="12" t="s">
        <v>18</v>
      </c>
      <c r="C24" s="13" t="s">
        <v>145</v>
      </c>
      <c r="D24" s="13" t="s">
        <v>146</v>
      </c>
      <c r="E24" s="51" t="s">
        <v>40</v>
      </c>
      <c r="F24" s="14" t="s">
        <v>263</v>
      </c>
      <c r="G24" s="13" t="s">
        <v>20</v>
      </c>
      <c r="H24" s="48" t="s">
        <v>264</v>
      </c>
      <c r="I24" s="48" t="s">
        <v>265</v>
      </c>
      <c r="J24" s="13"/>
      <c r="K24" s="13" t="s">
        <v>48</v>
      </c>
      <c r="L24" s="16" t="s">
        <v>11</v>
      </c>
      <c r="M24" s="17">
        <v>168337</v>
      </c>
      <c r="N24" s="18">
        <v>45744</v>
      </c>
      <c r="O24" s="19" t="s">
        <v>266</v>
      </c>
      <c r="P24" s="19" t="s">
        <v>267</v>
      </c>
      <c r="Q24" s="19" t="s">
        <v>289</v>
      </c>
      <c r="R24" s="13" t="s">
        <v>379</v>
      </c>
      <c r="T24" s="50"/>
    </row>
    <row r="25" spans="1:20" x14ac:dyDescent="0.25">
      <c r="A25" s="11">
        <v>23</v>
      </c>
      <c r="B25" s="24" t="s">
        <v>255</v>
      </c>
      <c r="C25" s="13" t="s">
        <v>29</v>
      </c>
      <c r="D25" s="13" t="s">
        <v>25</v>
      </c>
      <c r="E25" s="51" t="s">
        <v>40</v>
      </c>
      <c r="F25" s="14" t="s">
        <v>268</v>
      </c>
      <c r="G25" s="13" t="s">
        <v>259</v>
      </c>
      <c r="H25" s="48" t="s">
        <v>269</v>
      </c>
      <c r="I25" s="48" t="s">
        <v>197</v>
      </c>
      <c r="J25" s="13"/>
      <c r="K25" s="13" t="s">
        <v>48</v>
      </c>
      <c r="L25" s="16" t="s">
        <v>11</v>
      </c>
      <c r="M25" s="17">
        <v>150274</v>
      </c>
      <c r="N25" s="18">
        <v>45744</v>
      </c>
      <c r="O25" s="19" t="s">
        <v>270</v>
      </c>
      <c r="P25" s="19" t="s">
        <v>271</v>
      </c>
      <c r="Q25" s="19" t="s">
        <v>290</v>
      </c>
      <c r="R25" s="16" t="s">
        <v>379</v>
      </c>
      <c r="T25" s="50"/>
    </row>
    <row r="26" spans="1:20" x14ac:dyDescent="0.25">
      <c r="A26" s="11">
        <v>24</v>
      </c>
      <c r="B26" s="12" t="s">
        <v>33</v>
      </c>
      <c r="C26" s="13" t="s">
        <v>31</v>
      </c>
      <c r="D26" s="13" t="s">
        <v>34</v>
      </c>
      <c r="E26" s="21" t="s">
        <v>19</v>
      </c>
      <c r="F26" s="14" t="s">
        <v>276</v>
      </c>
      <c r="G26" s="40" t="s">
        <v>35</v>
      </c>
      <c r="H26" s="48" t="s">
        <v>277</v>
      </c>
      <c r="I26" s="49" t="s">
        <v>76</v>
      </c>
      <c r="J26" s="13"/>
      <c r="K26" s="13" t="s">
        <v>48</v>
      </c>
      <c r="L26" s="16" t="s">
        <v>11</v>
      </c>
      <c r="M26" s="17">
        <v>154735</v>
      </c>
      <c r="N26" s="18">
        <v>45744</v>
      </c>
      <c r="O26" s="19" t="s">
        <v>278</v>
      </c>
      <c r="P26" s="19" t="s">
        <v>279</v>
      </c>
      <c r="Q26" s="19" t="s">
        <v>291</v>
      </c>
      <c r="R26" s="16" t="s">
        <v>379</v>
      </c>
      <c r="T26" s="50"/>
    </row>
    <row r="27" spans="1:20" s="10" customFormat="1" x14ac:dyDescent="0.25">
      <c r="A27" s="11">
        <v>25</v>
      </c>
      <c r="B27" s="12" t="s">
        <v>36</v>
      </c>
      <c r="C27" s="13" t="s">
        <v>137</v>
      </c>
      <c r="D27" s="13" t="s">
        <v>151</v>
      </c>
      <c r="E27" s="21" t="s">
        <v>19</v>
      </c>
      <c r="F27" s="14" t="s">
        <v>250</v>
      </c>
      <c r="G27" s="13" t="s">
        <v>38</v>
      </c>
      <c r="H27" s="19" t="s">
        <v>251</v>
      </c>
      <c r="I27" s="19" t="s">
        <v>252</v>
      </c>
      <c r="J27" s="15"/>
      <c r="K27" s="13" t="s">
        <v>48</v>
      </c>
      <c r="L27" s="16" t="s">
        <v>11</v>
      </c>
      <c r="M27" s="17">
        <v>3414670</v>
      </c>
      <c r="N27" s="18">
        <v>45745</v>
      </c>
      <c r="O27" s="19" t="s">
        <v>253</v>
      </c>
      <c r="P27" s="19" t="s">
        <v>254</v>
      </c>
      <c r="Q27" s="19" t="s">
        <v>292</v>
      </c>
      <c r="R27" s="16" t="s">
        <v>382</v>
      </c>
      <c r="S27"/>
    </row>
    <row r="28" spans="1:20" x14ac:dyDescent="0.25">
      <c r="A28" s="11">
        <v>26</v>
      </c>
      <c r="B28" s="24" t="s">
        <v>255</v>
      </c>
      <c r="C28" s="13" t="s">
        <v>280</v>
      </c>
      <c r="D28" s="13" t="s">
        <v>257</v>
      </c>
      <c r="E28" s="51" t="s">
        <v>40</v>
      </c>
      <c r="F28" s="14" t="s">
        <v>281</v>
      </c>
      <c r="G28" s="13" t="s">
        <v>259</v>
      </c>
      <c r="H28" s="48" t="s">
        <v>282</v>
      </c>
      <c r="I28" s="48" t="s">
        <v>283</v>
      </c>
      <c r="J28" s="13"/>
      <c r="K28" s="13" t="s">
        <v>48</v>
      </c>
      <c r="L28" s="16" t="s">
        <v>11</v>
      </c>
      <c r="M28" s="17">
        <v>167623</v>
      </c>
      <c r="N28" s="18">
        <v>45745</v>
      </c>
      <c r="O28" s="19" t="s">
        <v>284</v>
      </c>
      <c r="P28" s="19" t="s">
        <v>285</v>
      </c>
      <c r="Q28" s="19" t="s">
        <v>293</v>
      </c>
      <c r="R28" s="13" t="s">
        <v>379</v>
      </c>
      <c r="T28" s="50"/>
    </row>
    <row r="29" spans="1:20" x14ac:dyDescent="0.25">
      <c r="A29" s="11">
        <v>27</v>
      </c>
      <c r="B29" s="12" t="s">
        <v>240</v>
      </c>
      <c r="C29" s="13" t="s">
        <v>31</v>
      </c>
      <c r="D29" s="13" t="s">
        <v>34</v>
      </c>
      <c r="E29" s="23" t="s">
        <v>23</v>
      </c>
      <c r="F29" s="14" t="s">
        <v>272</v>
      </c>
      <c r="G29" s="13" t="s">
        <v>21</v>
      </c>
      <c r="H29" s="13" t="s">
        <v>273</v>
      </c>
      <c r="I29" s="13" t="s">
        <v>243</v>
      </c>
      <c r="J29" s="13"/>
      <c r="K29" s="13" t="s">
        <v>48</v>
      </c>
      <c r="L29" s="16" t="s">
        <v>11</v>
      </c>
      <c r="M29" s="17">
        <v>150630</v>
      </c>
      <c r="N29" s="18">
        <v>45745</v>
      </c>
      <c r="O29" s="19" t="s">
        <v>274</v>
      </c>
      <c r="P29" s="19" t="s">
        <v>275</v>
      </c>
      <c r="Q29" s="19" t="s">
        <v>294</v>
      </c>
      <c r="R29" s="16" t="s">
        <v>379</v>
      </c>
      <c r="T29" s="50"/>
    </row>
    <row r="30" spans="1:20" s="10" customFormat="1" x14ac:dyDescent="0.25">
      <c r="A30" s="11">
        <v>28</v>
      </c>
      <c r="B30" s="12" t="s">
        <v>309</v>
      </c>
      <c r="C30" s="13" t="s">
        <v>310</v>
      </c>
      <c r="D30" s="13" t="s">
        <v>311</v>
      </c>
      <c r="E30" s="23" t="s">
        <v>23</v>
      </c>
      <c r="F30" s="14" t="s">
        <v>312</v>
      </c>
      <c r="G30" s="13" t="s">
        <v>313</v>
      </c>
      <c r="H30" s="40" t="s">
        <v>314</v>
      </c>
      <c r="I30" s="56" t="s">
        <v>154</v>
      </c>
      <c r="J30" s="15"/>
      <c r="K30" s="13" t="s">
        <v>48</v>
      </c>
      <c r="L30" s="16" t="s">
        <v>11</v>
      </c>
      <c r="M30" s="17">
        <v>172290</v>
      </c>
      <c r="N30" s="18">
        <v>45745</v>
      </c>
      <c r="O30" s="19" t="s">
        <v>315</v>
      </c>
      <c r="P30" s="25" t="s">
        <v>316</v>
      </c>
      <c r="Q30" s="22" t="s">
        <v>335</v>
      </c>
      <c r="R30" s="16" t="s">
        <v>383</v>
      </c>
      <c r="S30"/>
    </row>
    <row r="31" spans="1:20" s="10" customFormat="1" x14ac:dyDescent="0.25">
      <c r="A31" s="11">
        <v>29</v>
      </c>
      <c r="B31" s="12" t="s">
        <v>18</v>
      </c>
      <c r="C31" s="13" t="s">
        <v>31</v>
      </c>
      <c r="D31" s="13" t="s">
        <v>51</v>
      </c>
      <c r="E31" s="21" t="s">
        <v>19</v>
      </c>
      <c r="F31" s="14" t="s">
        <v>317</v>
      </c>
      <c r="G31" s="13" t="s">
        <v>20</v>
      </c>
      <c r="H31" s="13" t="s">
        <v>318</v>
      </c>
      <c r="I31" s="13" t="s">
        <v>265</v>
      </c>
      <c r="J31" s="15">
        <v>45724</v>
      </c>
      <c r="K31" s="13" t="s">
        <v>48</v>
      </c>
      <c r="L31" s="16" t="s">
        <v>11</v>
      </c>
      <c r="M31" s="17">
        <v>159374</v>
      </c>
      <c r="N31" s="18">
        <v>45745</v>
      </c>
      <c r="O31" s="19" t="s">
        <v>319</v>
      </c>
      <c r="P31" s="19" t="s">
        <v>320</v>
      </c>
      <c r="Q31" s="19" t="s">
        <v>336</v>
      </c>
      <c r="R31" s="16" t="s">
        <v>379</v>
      </c>
      <c r="S31"/>
    </row>
    <row r="32" spans="1:20" x14ac:dyDescent="0.25">
      <c r="A32" s="11">
        <v>30</v>
      </c>
      <c r="B32" s="12" t="s">
        <v>36</v>
      </c>
      <c r="C32" s="13" t="s">
        <v>321</v>
      </c>
      <c r="D32" s="13" t="s">
        <v>27</v>
      </c>
      <c r="E32" s="21" t="s">
        <v>40</v>
      </c>
      <c r="F32" s="14" t="s">
        <v>322</v>
      </c>
      <c r="G32" s="13" t="s">
        <v>38</v>
      </c>
      <c r="H32" s="48" t="s">
        <v>323</v>
      </c>
      <c r="I32" s="49" t="s">
        <v>221</v>
      </c>
      <c r="J32" s="13"/>
      <c r="K32" s="13" t="s">
        <v>48</v>
      </c>
      <c r="L32" s="16" t="s">
        <v>11</v>
      </c>
      <c r="M32" s="17">
        <v>171854</v>
      </c>
      <c r="N32" s="18">
        <v>45745</v>
      </c>
      <c r="O32" s="19" t="s">
        <v>324</v>
      </c>
      <c r="P32" s="19" t="s">
        <v>325</v>
      </c>
      <c r="Q32" s="19" t="s">
        <v>337</v>
      </c>
      <c r="R32" s="13" t="s">
        <v>381</v>
      </c>
      <c r="T32" s="50"/>
    </row>
    <row r="33" spans="1:22" x14ac:dyDescent="0.25">
      <c r="A33" s="11">
        <v>31</v>
      </c>
      <c r="B33" s="12" t="s">
        <v>309</v>
      </c>
      <c r="C33" s="40" t="s">
        <v>29</v>
      </c>
      <c r="D33" s="40" t="s">
        <v>311</v>
      </c>
      <c r="E33" s="21" t="s">
        <v>40</v>
      </c>
      <c r="F33" s="14" t="s">
        <v>326</v>
      </c>
      <c r="G33" s="40" t="s">
        <v>313</v>
      </c>
      <c r="H33" s="48" t="s">
        <v>327</v>
      </c>
      <c r="I33" s="48" t="s">
        <v>67</v>
      </c>
      <c r="J33" s="13"/>
      <c r="K33" s="13" t="s">
        <v>48</v>
      </c>
      <c r="L33" s="16" t="s">
        <v>11</v>
      </c>
      <c r="M33" s="46">
        <v>160370</v>
      </c>
      <c r="N33" s="18">
        <v>45745</v>
      </c>
      <c r="O33" s="40" t="s">
        <v>328</v>
      </c>
      <c r="P33" s="40" t="s">
        <v>329</v>
      </c>
      <c r="Q33" s="19" t="s">
        <v>338</v>
      </c>
      <c r="R33" s="13" t="s">
        <v>379</v>
      </c>
      <c r="T33" s="50"/>
    </row>
    <row r="34" spans="1:22" s="10" customFormat="1" x14ac:dyDescent="0.25">
      <c r="A34" s="11">
        <v>32</v>
      </c>
      <c r="B34" s="13" t="s">
        <v>22</v>
      </c>
      <c r="C34" s="13" t="s">
        <v>137</v>
      </c>
      <c r="D34" s="13" t="s">
        <v>257</v>
      </c>
      <c r="E34" s="23" t="s">
        <v>23</v>
      </c>
      <c r="F34" s="14" t="s">
        <v>330</v>
      </c>
      <c r="G34" s="13" t="s">
        <v>30</v>
      </c>
      <c r="H34" s="13" t="s">
        <v>331</v>
      </c>
      <c r="I34" s="13" t="s">
        <v>332</v>
      </c>
      <c r="J34" s="15">
        <v>45730</v>
      </c>
      <c r="K34" s="13" t="s">
        <v>48</v>
      </c>
      <c r="L34" s="16" t="s">
        <v>11</v>
      </c>
      <c r="M34" s="17">
        <v>2612882</v>
      </c>
      <c r="N34" s="18">
        <v>45745</v>
      </c>
      <c r="O34" s="19" t="s">
        <v>333</v>
      </c>
      <c r="P34" s="25" t="s">
        <v>334</v>
      </c>
      <c r="Q34" s="19" t="s">
        <v>339</v>
      </c>
      <c r="R34" s="16" t="s">
        <v>379</v>
      </c>
      <c r="S34"/>
    </row>
    <row r="35" spans="1:22" s="10" customFormat="1" x14ac:dyDescent="0.25">
      <c r="A35" s="11">
        <v>33</v>
      </c>
      <c r="B35" s="12" t="s">
        <v>36</v>
      </c>
      <c r="C35" s="13" t="s">
        <v>137</v>
      </c>
      <c r="D35" s="13" t="s">
        <v>151</v>
      </c>
      <c r="E35" s="21" t="s">
        <v>19</v>
      </c>
      <c r="F35" s="14" t="s">
        <v>356</v>
      </c>
      <c r="G35" s="13" t="s">
        <v>38</v>
      </c>
      <c r="H35" s="13" t="s">
        <v>357</v>
      </c>
      <c r="I35" s="13" t="s">
        <v>221</v>
      </c>
      <c r="J35" s="15">
        <v>45719</v>
      </c>
      <c r="K35" s="13" t="s">
        <v>48</v>
      </c>
      <c r="L35" s="16" t="s">
        <v>11</v>
      </c>
      <c r="M35" s="17">
        <v>153942</v>
      </c>
      <c r="N35" s="18">
        <v>45746</v>
      </c>
      <c r="O35" s="19" t="s">
        <v>358</v>
      </c>
      <c r="P35" s="19" t="s">
        <v>359</v>
      </c>
      <c r="Q35" s="19" t="s">
        <v>360</v>
      </c>
      <c r="R35" s="16" t="s">
        <v>379</v>
      </c>
      <c r="S35"/>
    </row>
    <row r="36" spans="1:22" s="10" customFormat="1" x14ac:dyDescent="0.25">
      <c r="A36" s="11">
        <v>34</v>
      </c>
      <c r="B36" s="12" t="s">
        <v>33</v>
      </c>
      <c r="C36" s="13" t="s">
        <v>361</v>
      </c>
      <c r="D36" s="13" t="s">
        <v>26</v>
      </c>
      <c r="E36" s="21" t="s">
        <v>19</v>
      </c>
      <c r="F36" s="14" t="s">
        <v>362</v>
      </c>
      <c r="G36" s="13" t="s">
        <v>35</v>
      </c>
      <c r="H36" s="13" t="s">
        <v>363</v>
      </c>
      <c r="I36" s="13" t="s">
        <v>189</v>
      </c>
      <c r="J36" s="15">
        <v>45735</v>
      </c>
      <c r="K36" s="13" t="s">
        <v>48</v>
      </c>
      <c r="L36" s="16" t="s">
        <v>11</v>
      </c>
      <c r="M36" s="46">
        <v>3245797</v>
      </c>
      <c r="N36" s="18">
        <v>45746</v>
      </c>
      <c r="O36" s="19" t="s">
        <v>364</v>
      </c>
      <c r="P36" s="19" t="s">
        <v>365</v>
      </c>
      <c r="Q36" s="19" t="s">
        <v>366</v>
      </c>
      <c r="R36" s="16" t="s">
        <v>379</v>
      </c>
      <c r="S36"/>
    </row>
    <row r="37" spans="1:22" s="10" customFormat="1" x14ac:dyDescent="0.25">
      <c r="A37" s="11">
        <v>35</v>
      </c>
      <c r="B37" s="13" t="s">
        <v>22</v>
      </c>
      <c r="C37" s="13" t="s">
        <v>37</v>
      </c>
      <c r="D37" s="13" t="s">
        <v>25</v>
      </c>
      <c r="E37" s="21" t="s">
        <v>19</v>
      </c>
      <c r="F37" s="14" t="s">
        <v>367</v>
      </c>
      <c r="G37" s="13" t="s">
        <v>30</v>
      </c>
      <c r="H37" s="13" t="s">
        <v>368</v>
      </c>
      <c r="I37" s="13" t="s">
        <v>369</v>
      </c>
      <c r="J37" s="15">
        <v>45720</v>
      </c>
      <c r="K37" s="13" t="s">
        <v>48</v>
      </c>
      <c r="L37" s="16" t="s">
        <v>11</v>
      </c>
      <c r="M37" s="17">
        <v>2330329</v>
      </c>
      <c r="N37" s="18">
        <v>45746</v>
      </c>
      <c r="O37" s="19" t="s">
        <v>370</v>
      </c>
      <c r="P37" s="19" t="s">
        <v>371</v>
      </c>
      <c r="Q37" s="19" t="s">
        <v>377</v>
      </c>
      <c r="R37" s="16" t="s">
        <v>379</v>
      </c>
      <c r="S37"/>
    </row>
    <row r="38" spans="1:22" s="10" customFormat="1" x14ac:dyDescent="0.25">
      <c r="A38" s="11">
        <v>36</v>
      </c>
      <c r="B38" s="13" t="s">
        <v>136</v>
      </c>
      <c r="C38" s="13" t="s">
        <v>372</v>
      </c>
      <c r="D38" s="13" t="s">
        <v>138</v>
      </c>
      <c r="E38" s="23" t="s">
        <v>23</v>
      </c>
      <c r="F38" s="14" t="s">
        <v>373</v>
      </c>
      <c r="G38" s="13" t="s">
        <v>140</v>
      </c>
      <c r="H38" s="13" t="s">
        <v>374</v>
      </c>
      <c r="I38" s="13" t="s">
        <v>221</v>
      </c>
      <c r="J38" s="24"/>
      <c r="K38" s="13" t="s">
        <v>48</v>
      </c>
      <c r="L38" s="16" t="s">
        <v>11</v>
      </c>
      <c r="M38" s="17">
        <v>3394848</v>
      </c>
      <c r="N38" s="18">
        <v>45747</v>
      </c>
      <c r="O38" s="19" t="s">
        <v>375</v>
      </c>
      <c r="P38" s="25" t="s">
        <v>376</v>
      </c>
      <c r="Q38" s="19" t="s">
        <v>378</v>
      </c>
      <c r="R38" s="16" t="s">
        <v>379</v>
      </c>
      <c r="S38"/>
    </row>
    <row r="39" spans="1:22" s="10" customFormat="1" x14ac:dyDescent="0.25">
      <c r="A39" s="11"/>
      <c r="B39" s="24"/>
      <c r="C39" s="13"/>
      <c r="D39" s="13"/>
      <c r="E39" s="21"/>
      <c r="F39" s="57" t="s">
        <v>129</v>
      </c>
      <c r="G39" s="57"/>
      <c r="H39" s="57"/>
      <c r="I39" s="58"/>
      <c r="J39" s="15"/>
      <c r="K39" s="13"/>
      <c r="L39" s="16"/>
      <c r="M39" s="21"/>
      <c r="N39" s="18"/>
      <c r="O39" s="19"/>
      <c r="P39" s="19"/>
      <c r="Q39" s="19"/>
      <c r="R39" s="26"/>
      <c r="S39"/>
    </row>
    <row r="40" spans="1:22" s="10" customFormat="1" x14ac:dyDescent="0.25">
      <c r="A40" s="27">
        <v>1</v>
      </c>
      <c r="B40" s="21" t="s">
        <v>18</v>
      </c>
      <c r="C40" s="13" t="s">
        <v>90</v>
      </c>
      <c r="D40" s="40" t="s">
        <v>42</v>
      </c>
      <c r="E40" s="21" t="s">
        <v>40</v>
      </c>
      <c r="F40" s="14" t="s">
        <v>91</v>
      </c>
      <c r="G40" s="13" t="s">
        <v>20</v>
      </c>
      <c r="H40" s="13"/>
      <c r="I40" s="13"/>
      <c r="J40" s="24"/>
      <c r="K40" s="16"/>
      <c r="L40" s="13" t="s">
        <v>92</v>
      </c>
      <c r="M40" s="45">
        <v>45721</v>
      </c>
      <c r="N40" s="21">
        <f t="shared" ref="N40:N47" ca="1" si="0">TODAY()-M40</f>
        <v>282</v>
      </c>
      <c r="O40" s="33" t="s">
        <v>93</v>
      </c>
      <c r="P40" s="25" t="s">
        <v>94</v>
      </c>
      <c r="Q40" s="16"/>
      <c r="R40" s="16"/>
    </row>
    <row r="41" spans="1:22" s="10" customFormat="1" x14ac:dyDescent="0.25">
      <c r="A41" s="27">
        <v>2</v>
      </c>
      <c r="B41" s="21" t="s">
        <v>18</v>
      </c>
      <c r="C41" s="13" t="s">
        <v>31</v>
      </c>
      <c r="D41" s="13" t="s">
        <v>51</v>
      </c>
      <c r="E41" s="21" t="s">
        <v>40</v>
      </c>
      <c r="F41" s="14" t="s">
        <v>95</v>
      </c>
      <c r="G41" s="13" t="s">
        <v>20</v>
      </c>
      <c r="H41" s="13"/>
      <c r="I41" s="13"/>
      <c r="J41" s="24"/>
      <c r="K41" s="16"/>
      <c r="L41" s="13" t="s">
        <v>96</v>
      </c>
      <c r="M41" s="45">
        <v>45721</v>
      </c>
      <c r="N41" s="21">
        <f t="shared" ca="1" si="0"/>
        <v>282</v>
      </c>
      <c r="O41" s="33" t="s">
        <v>97</v>
      </c>
      <c r="P41" s="25" t="s">
        <v>98</v>
      </c>
      <c r="Q41" s="16"/>
      <c r="R41" s="16"/>
    </row>
    <row r="42" spans="1:22" s="10" customFormat="1" x14ac:dyDescent="0.25">
      <c r="A42" s="27">
        <v>3</v>
      </c>
      <c r="B42" s="21" t="s">
        <v>22</v>
      </c>
      <c r="C42" s="13" t="s">
        <v>37</v>
      </c>
      <c r="D42" s="13" t="s">
        <v>25</v>
      </c>
      <c r="E42" s="21" t="s">
        <v>40</v>
      </c>
      <c r="F42" s="14" t="s">
        <v>99</v>
      </c>
      <c r="G42" s="13" t="s">
        <v>30</v>
      </c>
      <c r="H42" s="13"/>
      <c r="I42" s="13"/>
      <c r="J42" s="24"/>
      <c r="K42" s="16"/>
      <c r="L42" s="13" t="s">
        <v>100</v>
      </c>
      <c r="M42" s="45">
        <v>45721</v>
      </c>
      <c r="N42" s="21">
        <f t="shared" ca="1" si="0"/>
        <v>282</v>
      </c>
      <c r="O42" s="33" t="s">
        <v>101</v>
      </c>
      <c r="P42" s="25" t="s">
        <v>102</v>
      </c>
      <c r="Q42" s="19"/>
      <c r="R42" s="26"/>
    </row>
    <row r="43" spans="1:22" s="10" customFormat="1" x14ac:dyDescent="0.25">
      <c r="A43" s="27">
        <v>4</v>
      </c>
      <c r="B43" s="35" t="s">
        <v>103</v>
      </c>
      <c r="C43" s="13" t="s">
        <v>28</v>
      </c>
      <c r="D43" s="20" t="s">
        <v>26</v>
      </c>
      <c r="E43" s="21" t="s">
        <v>40</v>
      </c>
      <c r="F43" s="14" t="s">
        <v>104</v>
      </c>
      <c r="G43" s="13" t="s">
        <v>21</v>
      </c>
      <c r="H43" s="13"/>
      <c r="I43" s="13"/>
      <c r="J43" s="24"/>
      <c r="K43" s="16"/>
      <c r="L43" s="13" t="s">
        <v>105</v>
      </c>
      <c r="M43" s="45">
        <v>45721</v>
      </c>
      <c r="N43" s="21">
        <f t="shared" ca="1" si="0"/>
        <v>282</v>
      </c>
      <c r="O43" s="33" t="s">
        <v>106</v>
      </c>
      <c r="P43" s="25" t="s">
        <v>107</v>
      </c>
      <c r="Q43" s="19"/>
      <c r="R43" s="26"/>
    </row>
    <row r="44" spans="1:22" s="10" customFormat="1" x14ac:dyDescent="0.25">
      <c r="A44" s="27">
        <v>5</v>
      </c>
      <c r="B44" s="35" t="s">
        <v>103</v>
      </c>
      <c r="C44" s="13" t="s">
        <v>31</v>
      </c>
      <c r="D44" s="13" t="s">
        <v>34</v>
      </c>
      <c r="E44" s="21" t="s">
        <v>40</v>
      </c>
      <c r="F44" s="14" t="s">
        <v>108</v>
      </c>
      <c r="G44" s="13" t="s">
        <v>21</v>
      </c>
      <c r="H44" s="13"/>
      <c r="I44" s="13"/>
      <c r="J44" s="24"/>
      <c r="K44" s="16"/>
      <c r="L44" s="13" t="s">
        <v>109</v>
      </c>
      <c r="M44" s="45">
        <v>45721</v>
      </c>
      <c r="N44" s="21">
        <f t="shared" ca="1" si="0"/>
        <v>282</v>
      </c>
      <c r="O44" s="33" t="s">
        <v>110</v>
      </c>
      <c r="P44" s="25" t="s">
        <v>111</v>
      </c>
      <c r="Q44" s="19"/>
      <c r="R44" s="26"/>
    </row>
    <row r="45" spans="1:22" s="10" customFormat="1" x14ac:dyDescent="0.25">
      <c r="A45" s="27">
        <v>6</v>
      </c>
      <c r="B45" s="43" t="s">
        <v>112</v>
      </c>
      <c r="C45" s="13" t="s">
        <v>113</v>
      </c>
      <c r="D45" s="20" t="s">
        <v>32</v>
      </c>
      <c r="E45" s="21" t="s">
        <v>40</v>
      </c>
      <c r="F45" s="14" t="s">
        <v>114</v>
      </c>
      <c r="G45" s="12" t="s">
        <v>115</v>
      </c>
      <c r="H45" s="13"/>
      <c r="I45" s="13"/>
      <c r="J45" s="24"/>
      <c r="K45" s="16"/>
      <c r="L45" s="13" t="s">
        <v>116</v>
      </c>
      <c r="M45" s="45">
        <v>45721</v>
      </c>
      <c r="N45" s="21">
        <f t="shared" ca="1" si="0"/>
        <v>282</v>
      </c>
      <c r="O45" s="33" t="s">
        <v>117</v>
      </c>
      <c r="P45" s="19" t="s">
        <v>118</v>
      </c>
      <c r="Q45" s="19"/>
      <c r="R45" s="26"/>
    </row>
    <row r="46" spans="1:22" x14ac:dyDescent="0.25">
      <c r="A46" s="27">
        <v>7</v>
      </c>
      <c r="B46" s="43" t="s">
        <v>112</v>
      </c>
      <c r="C46" s="13" t="s">
        <v>119</v>
      </c>
      <c r="D46" s="20" t="s">
        <v>32</v>
      </c>
      <c r="E46" s="21" t="s">
        <v>40</v>
      </c>
      <c r="F46" s="14" t="s">
        <v>120</v>
      </c>
      <c r="G46" s="20" t="s">
        <v>121</v>
      </c>
      <c r="H46" s="13"/>
      <c r="I46" s="13"/>
      <c r="J46" s="24"/>
      <c r="K46" s="16"/>
      <c r="L46" s="13" t="s">
        <v>122</v>
      </c>
      <c r="M46" s="45">
        <v>45721</v>
      </c>
      <c r="N46" s="21">
        <f t="shared" ca="1" si="0"/>
        <v>282</v>
      </c>
      <c r="O46" s="33" t="s">
        <v>123</v>
      </c>
      <c r="P46" s="19" t="s">
        <v>124</v>
      </c>
      <c r="Q46" s="13"/>
      <c r="R46" s="13"/>
      <c r="S46" s="10"/>
      <c r="T46" s="10"/>
      <c r="U46" s="10"/>
    </row>
    <row r="47" spans="1:22" x14ac:dyDescent="0.25">
      <c r="A47" s="27">
        <v>8</v>
      </c>
      <c r="B47" s="21" t="s">
        <v>36</v>
      </c>
      <c r="C47" s="13" t="s">
        <v>37</v>
      </c>
      <c r="D47" s="13"/>
      <c r="E47" s="21" t="s">
        <v>40</v>
      </c>
      <c r="F47" s="14" t="s">
        <v>125</v>
      </c>
      <c r="G47" s="13" t="s">
        <v>38</v>
      </c>
      <c r="H47" s="13"/>
      <c r="I47" s="13"/>
      <c r="J47" s="24"/>
      <c r="K47" s="16"/>
      <c r="L47" s="13" t="s">
        <v>126</v>
      </c>
      <c r="M47" s="45">
        <v>45721</v>
      </c>
      <c r="N47" s="21">
        <f t="shared" ca="1" si="0"/>
        <v>282</v>
      </c>
      <c r="O47" s="33" t="s">
        <v>127</v>
      </c>
      <c r="P47" s="25" t="s">
        <v>128</v>
      </c>
      <c r="Q47" s="13"/>
      <c r="R47" s="13"/>
      <c r="S47" s="10"/>
      <c r="T47" s="10"/>
      <c r="U47" s="10"/>
    </row>
    <row r="48" spans="1:22" x14ac:dyDescent="0.25">
      <c r="A48" s="11"/>
      <c r="B48" s="12"/>
      <c r="C48" s="13"/>
      <c r="D48" s="13"/>
      <c r="E48" s="29"/>
      <c r="F48" s="59" t="s">
        <v>89</v>
      </c>
      <c r="G48" s="60"/>
      <c r="H48" s="60"/>
      <c r="I48" s="61"/>
      <c r="J48" s="15"/>
      <c r="K48" s="12"/>
      <c r="L48" s="16"/>
      <c r="M48" s="30"/>
      <c r="N48" s="18"/>
      <c r="O48" s="19"/>
      <c r="P48" s="19"/>
      <c r="Q48" s="13"/>
      <c r="R48" s="13"/>
      <c r="S48" s="10"/>
      <c r="T48" s="10"/>
      <c r="U48" s="10"/>
      <c r="V48" s="10"/>
    </row>
    <row r="49" spans="1:21" x14ac:dyDescent="0.25">
      <c r="A49" s="27">
        <v>1</v>
      </c>
      <c r="B49" s="12" t="s">
        <v>79</v>
      </c>
      <c r="C49" s="20" t="s">
        <v>169</v>
      </c>
      <c r="D49" s="20" t="s">
        <v>170</v>
      </c>
      <c r="E49" s="23" t="s">
        <v>23</v>
      </c>
      <c r="F49" s="35" t="s">
        <v>171</v>
      </c>
      <c r="G49" s="20" t="s">
        <v>172</v>
      </c>
      <c r="H49" s="13" t="s">
        <v>173</v>
      </c>
      <c r="I49" s="13" t="s">
        <v>174</v>
      </c>
      <c r="J49" s="13" t="s">
        <v>85</v>
      </c>
      <c r="K49" s="13"/>
      <c r="L49" s="31" t="s">
        <v>175</v>
      </c>
      <c r="M49" s="32">
        <v>45351</v>
      </c>
      <c r="N49" s="21">
        <f t="shared" ref="N49" ca="1" si="1">TODAY()-M49</f>
        <v>652</v>
      </c>
      <c r="O49" s="33" t="s">
        <v>176</v>
      </c>
      <c r="P49" s="33" t="s">
        <v>177</v>
      </c>
      <c r="Q49" s="42"/>
      <c r="R49" s="13"/>
      <c r="S49" s="10"/>
      <c r="T49" s="10"/>
      <c r="U49" s="10"/>
    </row>
    <row r="50" spans="1:21" x14ac:dyDescent="0.25">
      <c r="A50" s="27">
        <v>2</v>
      </c>
      <c r="B50" s="12" t="s">
        <v>79</v>
      </c>
      <c r="C50" s="38" t="s">
        <v>39</v>
      </c>
      <c r="D50" s="22" t="s">
        <v>80</v>
      </c>
      <c r="E50" s="23" t="s">
        <v>23</v>
      </c>
      <c r="F50" s="14" t="s">
        <v>81</v>
      </c>
      <c r="G50" s="13" t="s">
        <v>82</v>
      </c>
      <c r="H50" s="12" t="s">
        <v>83</v>
      </c>
      <c r="I50" s="12" t="s">
        <v>84</v>
      </c>
      <c r="J50" s="13" t="s">
        <v>85</v>
      </c>
      <c r="K50" s="13"/>
      <c r="L50" s="31" t="s">
        <v>86</v>
      </c>
      <c r="M50" s="32">
        <v>45322</v>
      </c>
      <c r="N50" s="21">
        <f t="shared" ref="N50" ca="1" si="2">TODAY()-M50</f>
        <v>681</v>
      </c>
      <c r="O50" s="33" t="s">
        <v>87</v>
      </c>
      <c r="P50" s="33" t="s">
        <v>88</v>
      </c>
      <c r="Q50" s="39"/>
      <c r="R50" s="13"/>
      <c r="S50" s="10"/>
      <c r="T50" s="10"/>
      <c r="U50" s="10"/>
    </row>
    <row r="51" spans="1:21" x14ac:dyDescent="0.25">
      <c r="A51" s="27">
        <v>3</v>
      </c>
      <c r="B51" s="41" t="s">
        <v>178</v>
      </c>
      <c r="C51" s="20" t="s">
        <v>179</v>
      </c>
      <c r="D51" s="20" t="s">
        <v>180</v>
      </c>
      <c r="E51" s="23" t="s">
        <v>23</v>
      </c>
      <c r="F51" s="35" t="s">
        <v>181</v>
      </c>
      <c r="G51" s="20" t="s">
        <v>182</v>
      </c>
      <c r="H51" s="13" t="s">
        <v>183</v>
      </c>
      <c r="I51" s="13" t="s">
        <v>184</v>
      </c>
      <c r="J51" s="13" t="s">
        <v>85</v>
      </c>
      <c r="K51" s="13"/>
      <c r="L51" s="13" t="s">
        <v>185</v>
      </c>
      <c r="M51" s="28">
        <v>45533</v>
      </c>
      <c r="N51" s="21">
        <f ca="1">TODAY()-M51</f>
        <v>470</v>
      </c>
      <c r="O51" s="33" t="s">
        <v>186</v>
      </c>
      <c r="P51" s="33">
        <v>13998060050905</v>
      </c>
      <c r="Q51" s="42"/>
      <c r="R51" s="13"/>
      <c r="S51" s="10"/>
      <c r="T51" s="10"/>
      <c r="U51" s="10"/>
    </row>
    <row r="52" spans="1:21" x14ac:dyDescent="0.25">
      <c r="A52" s="27">
        <v>4</v>
      </c>
      <c r="B52" s="21" t="s">
        <v>22</v>
      </c>
      <c r="C52" s="13" t="s">
        <v>28</v>
      </c>
      <c r="D52" s="13" t="s">
        <v>193</v>
      </c>
      <c r="E52" s="23" t="s">
        <v>23</v>
      </c>
      <c r="F52" s="52" t="s">
        <v>295</v>
      </c>
      <c r="G52" s="20" t="s">
        <v>296</v>
      </c>
      <c r="H52" s="13" t="s">
        <v>297</v>
      </c>
      <c r="I52" s="13" t="s">
        <v>298</v>
      </c>
      <c r="J52" s="13" t="s">
        <v>85</v>
      </c>
      <c r="K52" s="16"/>
      <c r="L52" s="20" t="s">
        <v>299</v>
      </c>
      <c r="M52" s="28">
        <v>45626</v>
      </c>
      <c r="N52" s="21">
        <f ca="1">TODAY()-M52</f>
        <v>377</v>
      </c>
      <c r="O52" s="33" t="s">
        <v>300</v>
      </c>
      <c r="P52" s="33">
        <v>65482080234770</v>
      </c>
      <c r="Q52" s="39"/>
      <c r="R52" s="13"/>
      <c r="S52" s="10"/>
      <c r="T52" s="10"/>
      <c r="U52" s="10"/>
    </row>
    <row r="53" spans="1:21" x14ac:dyDescent="0.25">
      <c r="A53" s="27">
        <v>5</v>
      </c>
      <c r="B53" s="35" t="s">
        <v>301</v>
      </c>
      <c r="C53" s="20" t="s">
        <v>37</v>
      </c>
      <c r="D53" s="20" t="s">
        <v>151</v>
      </c>
      <c r="E53" s="21" t="s">
        <v>19</v>
      </c>
      <c r="F53" s="36" t="s">
        <v>302</v>
      </c>
      <c r="G53" s="20" t="s">
        <v>303</v>
      </c>
      <c r="H53" s="13" t="s">
        <v>304</v>
      </c>
      <c r="I53" s="13" t="s">
        <v>305</v>
      </c>
      <c r="J53" s="13" t="s">
        <v>340</v>
      </c>
      <c r="K53" s="13"/>
      <c r="L53" s="20" t="s">
        <v>306</v>
      </c>
      <c r="M53" s="28">
        <v>45565</v>
      </c>
      <c r="N53" s="21">
        <f ca="1">TODAY()-M53</f>
        <v>438</v>
      </c>
      <c r="O53" s="20" t="s">
        <v>307</v>
      </c>
      <c r="P53" s="20" t="s">
        <v>308</v>
      </c>
      <c r="Q53" s="42"/>
      <c r="R53" s="16"/>
      <c r="S53" s="10"/>
      <c r="T53" s="10"/>
      <c r="U53" s="10"/>
    </row>
    <row r="54" spans="1:21" x14ac:dyDescent="0.25">
      <c r="A54" s="27">
        <v>6</v>
      </c>
      <c r="B54" s="35" t="s">
        <v>341</v>
      </c>
      <c r="C54" s="13" t="s">
        <v>137</v>
      </c>
      <c r="D54" s="20" t="s">
        <v>342</v>
      </c>
      <c r="E54" s="23" t="s">
        <v>23</v>
      </c>
      <c r="F54" s="14" t="s">
        <v>343</v>
      </c>
      <c r="G54" s="13" t="s">
        <v>344</v>
      </c>
      <c r="H54" s="40" t="s">
        <v>345</v>
      </c>
      <c r="I54" s="40" t="s">
        <v>346</v>
      </c>
      <c r="J54" s="13" t="s">
        <v>340</v>
      </c>
      <c r="K54" s="13"/>
      <c r="L54" s="20" t="s">
        <v>347</v>
      </c>
      <c r="M54" s="28">
        <v>45590</v>
      </c>
      <c r="N54" s="21">
        <f t="shared" ref="N54:N55" ca="1" si="3">TODAY()-M54</f>
        <v>413</v>
      </c>
      <c r="O54" s="13" t="s">
        <v>348</v>
      </c>
      <c r="P54" s="53" t="s">
        <v>349</v>
      </c>
      <c r="Q54" s="42"/>
      <c r="R54" s="13"/>
      <c r="S54" s="13"/>
      <c r="T54" s="54">
        <v>45474</v>
      </c>
      <c r="U54" s="13"/>
    </row>
    <row r="55" spans="1:21" x14ac:dyDescent="0.25">
      <c r="A55" s="27">
        <v>7</v>
      </c>
      <c r="B55" s="26" t="s">
        <v>195</v>
      </c>
      <c r="C55" s="38" t="s">
        <v>39</v>
      </c>
      <c r="D55" s="12" t="s">
        <v>32</v>
      </c>
      <c r="E55" s="23" t="s">
        <v>23</v>
      </c>
      <c r="F55" s="14" t="s">
        <v>350</v>
      </c>
      <c r="G55" s="13" t="s">
        <v>351</v>
      </c>
      <c r="H55" s="12" t="s">
        <v>352</v>
      </c>
      <c r="I55" s="12" t="s">
        <v>353</v>
      </c>
      <c r="J55" s="13" t="s">
        <v>340</v>
      </c>
      <c r="K55" s="13"/>
      <c r="L55" s="31" t="s">
        <v>354</v>
      </c>
      <c r="M55" s="32">
        <v>45322</v>
      </c>
      <c r="N55" s="21">
        <f t="shared" ca="1" si="3"/>
        <v>681</v>
      </c>
      <c r="O55" s="33" t="s">
        <v>355</v>
      </c>
      <c r="P55" s="33">
        <v>28281480064682</v>
      </c>
      <c r="Q55" s="42"/>
      <c r="R55" s="13"/>
      <c r="S55" s="13"/>
      <c r="T55" s="55">
        <v>45292</v>
      </c>
      <c r="U55" s="13"/>
    </row>
    <row r="56" spans="1:21" x14ac:dyDescent="0.25">
      <c r="A56" s="27"/>
      <c r="B56" s="26"/>
      <c r="C56" s="22"/>
      <c r="D56" s="13"/>
      <c r="E56" s="29"/>
      <c r="F56" s="14"/>
      <c r="G56" s="13"/>
      <c r="H56" s="13"/>
      <c r="I56" s="13"/>
      <c r="J56" s="37"/>
      <c r="K56" s="13"/>
      <c r="L56" s="31"/>
      <c r="M56" s="32"/>
      <c r="N56" s="21"/>
      <c r="O56" s="33"/>
      <c r="P56" s="33"/>
      <c r="Q56" s="34"/>
      <c r="R56" s="13"/>
      <c r="S56" s="10"/>
      <c r="T56" s="10"/>
      <c r="U56" s="10"/>
    </row>
    <row r="57" spans="1:21" x14ac:dyDescent="0.25">
      <c r="A57" s="27"/>
      <c r="B57" s="35"/>
      <c r="C57" s="20"/>
      <c r="D57" s="20"/>
      <c r="E57" s="21"/>
      <c r="F57" s="36"/>
      <c r="G57" s="20"/>
      <c r="H57" s="13"/>
      <c r="I57" s="13"/>
      <c r="J57" s="13"/>
      <c r="K57" s="13"/>
      <c r="L57" s="20"/>
      <c r="M57" s="28"/>
      <c r="N57" s="21"/>
      <c r="O57" s="33"/>
      <c r="P57" s="33"/>
      <c r="Q57" s="13"/>
      <c r="R57" s="13"/>
      <c r="S57" s="10"/>
      <c r="T57" s="10"/>
      <c r="U57" s="10"/>
    </row>
    <row r="58" spans="1:21" x14ac:dyDescent="0.25">
      <c r="S58" s="10"/>
      <c r="T58" s="10"/>
      <c r="U58" s="10"/>
    </row>
    <row r="59" spans="1:21" x14ac:dyDescent="0.25">
      <c r="S59" s="10"/>
      <c r="T59" s="10"/>
      <c r="U59" s="10"/>
    </row>
    <row r="60" spans="1:21" x14ac:dyDescent="0.25">
      <c r="S60" s="10"/>
      <c r="T60" s="10"/>
      <c r="U60" s="10"/>
    </row>
    <row r="61" spans="1:21" x14ac:dyDescent="0.25">
      <c r="S61" s="10"/>
      <c r="T61" s="10"/>
      <c r="U61" s="10"/>
    </row>
  </sheetData>
  <autoFilter ref="A2:AI55" xr:uid="{275D3314-CFEC-4178-89A2-6E7C598D8A82}"/>
  <mergeCells count="3">
    <mergeCell ref="F1:I1"/>
    <mergeCell ref="F39:I39"/>
    <mergeCell ref="F48:I48"/>
  </mergeCells>
  <conditionalFormatting sqref="F3">
    <cfRule type="duplicateValues" dxfId="220" priority="212"/>
    <cfRule type="duplicateValues" dxfId="219" priority="215"/>
  </conditionalFormatting>
  <conditionalFormatting sqref="F4">
    <cfRule type="duplicateValues" dxfId="218" priority="208"/>
    <cfRule type="duplicateValues" dxfId="217" priority="209"/>
  </conditionalFormatting>
  <conditionalFormatting sqref="F5">
    <cfRule type="duplicateValues" dxfId="216" priority="207"/>
    <cfRule type="duplicateValues" dxfId="215" priority="206"/>
  </conditionalFormatting>
  <conditionalFormatting sqref="F6">
    <cfRule type="duplicateValues" dxfId="214" priority="203"/>
    <cfRule type="duplicateValues" dxfId="213" priority="202"/>
  </conditionalFormatting>
  <conditionalFormatting sqref="F7">
    <cfRule type="duplicateValues" dxfId="212" priority="196"/>
    <cfRule type="duplicateValues" dxfId="211" priority="197"/>
  </conditionalFormatting>
  <conditionalFormatting sqref="F8">
    <cfRule type="duplicateValues" dxfId="210" priority="192"/>
    <cfRule type="duplicateValues" dxfId="209" priority="195"/>
  </conditionalFormatting>
  <conditionalFormatting sqref="F9">
    <cfRule type="duplicateValues" dxfId="208" priority="177"/>
    <cfRule type="duplicateValues" dxfId="207" priority="176"/>
  </conditionalFormatting>
  <conditionalFormatting sqref="F10">
    <cfRule type="duplicateValues" dxfId="206" priority="173"/>
    <cfRule type="duplicateValues" dxfId="205" priority="172"/>
  </conditionalFormatting>
  <conditionalFormatting sqref="F11">
    <cfRule type="duplicateValues" dxfId="204" priority="165"/>
    <cfRule type="duplicateValues" dxfId="203" priority="164"/>
  </conditionalFormatting>
  <conditionalFormatting sqref="F12">
    <cfRule type="duplicateValues" dxfId="202" priority="161"/>
    <cfRule type="duplicateValues" dxfId="201" priority="160"/>
  </conditionalFormatting>
  <conditionalFormatting sqref="F13">
    <cfRule type="duplicateValues" dxfId="200" priority="144"/>
    <cfRule type="duplicateValues" dxfId="199" priority="143"/>
  </conditionalFormatting>
  <conditionalFormatting sqref="F14">
    <cfRule type="duplicateValues" dxfId="198" priority="111"/>
    <cfRule type="duplicateValues" dxfId="197" priority="112"/>
  </conditionalFormatting>
  <conditionalFormatting sqref="F15">
    <cfRule type="duplicateValues" dxfId="196" priority="140"/>
    <cfRule type="duplicateValues" dxfId="195" priority="139"/>
  </conditionalFormatting>
  <conditionalFormatting sqref="F16">
    <cfRule type="duplicateValues" dxfId="194" priority="119"/>
    <cfRule type="duplicateValues" dxfId="193" priority="120"/>
  </conditionalFormatting>
  <conditionalFormatting sqref="F17">
    <cfRule type="duplicateValues" dxfId="192" priority="136"/>
  </conditionalFormatting>
  <conditionalFormatting sqref="F18">
    <cfRule type="duplicateValues" dxfId="191" priority="133"/>
    <cfRule type="duplicateValues" dxfId="190" priority="132"/>
  </conditionalFormatting>
  <conditionalFormatting sqref="F19">
    <cfRule type="duplicateValues" dxfId="189" priority="129"/>
    <cfRule type="duplicateValues" dxfId="188" priority="126"/>
  </conditionalFormatting>
  <conditionalFormatting sqref="F20">
    <cfRule type="duplicateValues" dxfId="187" priority="124"/>
    <cfRule type="duplicateValues" dxfId="186" priority="125"/>
  </conditionalFormatting>
  <conditionalFormatting sqref="F21">
    <cfRule type="duplicateValues" dxfId="185" priority="93"/>
    <cfRule type="duplicateValues" dxfId="184" priority="92"/>
  </conditionalFormatting>
  <conditionalFormatting sqref="F22">
    <cfRule type="duplicateValues" dxfId="183" priority="86"/>
    <cfRule type="duplicateValues" dxfId="182" priority="87"/>
  </conditionalFormatting>
  <conditionalFormatting sqref="F23:F26 F28:F29">
    <cfRule type="duplicateValues" dxfId="181" priority="78"/>
    <cfRule type="duplicateValues" dxfId="180" priority="79"/>
  </conditionalFormatting>
  <conditionalFormatting sqref="F27">
    <cfRule type="duplicateValues" dxfId="179" priority="85"/>
    <cfRule type="duplicateValues" dxfId="178" priority="84"/>
  </conditionalFormatting>
  <conditionalFormatting sqref="F30">
    <cfRule type="duplicateValues" dxfId="177" priority="49"/>
    <cfRule type="duplicateValues" dxfId="176" priority="50"/>
  </conditionalFormatting>
  <conditionalFormatting sqref="F31">
    <cfRule type="duplicateValues" dxfId="175" priority="46"/>
    <cfRule type="duplicateValues" dxfId="174" priority="45"/>
  </conditionalFormatting>
  <conditionalFormatting sqref="F32">
    <cfRule type="duplicateValues" dxfId="173" priority="41"/>
    <cfRule type="duplicateValues" dxfId="172" priority="42"/>
  </conditionalFormatting>
  <conditionalFormatting sqref="F33">
    <cfRule type="duplicateValues" dxfId="171" priority="40"/>
    <cfRule type="duplicateValues" dxfId="170" priority="39"/>
  </conditionalFormatting>
  <conditionalFormatting sqref="F34">
    <cfRule type="duplicateValues" dxfId="169" priority="37"/>
    <cfRule type="duplicateValues" dxfId="168" priority="38"/>
  </conditionalFormatting>
  <conditionalFormatting sqref="F35">
    <cfRule type="duplicateValues" dxfId="167" priority="21"/>
    <cfRule type="duplicateValues" dxfId="166" priority="22"/>
  </conditionalFormatting>
  <conditionalFormatting sqref="F36">
    <cfRule type="duplicateValues" dxfId="165" priority="18"/>
    <cfRule type="duplicateValues" dxfId="164" priority="17"/>
  </conditionalFormatting>
  <conditionalFormatting sqref="F37">
    <cfRule type="duplicateValues" dxfId="163" priority="11"/>
    <cfRule type="duplicateValues" dxfId="162" priority="10"/>
  </conditionalFormatting>
  <conditionalFormatting sqref="F38">
    <cfRule type="duplicateValues" dxfId="161" priority="7"/>
    <cfRule type="duplicateValues" dxfId="160" priority="6"/>
  </conditionalFormatting>
  <conditionalFormatting sqref="F39:F51 F17:F20 F1:F13 F15 F56:F1048576">
    <cfRule type="duplicateValues" dxfId="159" priority="121"/>
  </conditionalFormatting>
  <conditionalFormatting sqref="F40:F47">
    <cfRule type="duplicateValues" dxfId="158" priority="190"/>
    <cfRule type="duplicateValues" dxfId="157" priority="189"/>
  </conditionalFormatting>
  <conditionalFormatting sqref="F49">
    <cfRule type="duplicateValues" dxfId="156" priority="147"/>
    <cfRule type="duplicateValues" dxfId="155" priority="148"/>
  </conditionalFormatting>
  <conditionalFormatting sqref="F50">
    <cfRule type="duplicateValues" dxfId="154" priority="191"/>
  </conditionalFormatting>
  <conditionalFormatting sqref="F51">
    <cfRule type="duplicateValues" dxfId="153" priority="145"/>
    <cfRule type="duplicateValues" dxfId="152" priority="146"/>
  </conditionalFormatting>
  <conditionalFormatting sqref="F52">
    <cfRule type="duplicateValues" dxfId="151" priority="52"/>
    <cfRule type="duplicateValues" dxfId="150" priority="53"/>
  </conditionalFormatting>
  <conditionalFormatting sqref="F53">
    <cfRule type="duplicateValues" dxfId="149" priority="51"/>
  </conditionalFormatting>
  <conditionalFormatting sqref="F54">
    <cfRule type="duplicateValues" dxfId="148" priority="23"/>
  </conditionalFormatting>
  <conditionalFormatting sqref="F55">
    <cfRule type="duplicateValues" dxfId="147" priority="25"/>
    <cfRule type="duplicateValues" dxfId="146" priority="24"/>
  </conditionalFormatting>
  <conditionalFormatting sqref="F56">
    <cfRule type="duplicateValues" dxfId="145" priority="455"/>
    <cfRule type="duplicateValues" dxfId="144" priority="454"/>
  </conditionalFormatting>
  <conditionalFormatting sqref="F57">
    <cfRule type="duplicateValues" dxfId="143" priority="456"/>
  </conditionalFormatting>
  <conditionalFormatting sqref="F58:F1048576 F2">
    <cfRule type="duplicateValues" dxfId="142" priority="481"/>
  </conditionalFormatting>
  <conditionalFormatting sqref="F58:F1048576 F48 F1:F2 F39">
    <cfRule type="duplicateValues" dxfId="141" priority="477"/>
  </conditionalFormatting>
  <conditionalFormatting sqref="O3:P3">
    <cfRule type="duplicateValues" dxfId="140" priority="214"/>
    <cfRule type="duplicateValues" dxfId="139" priority="213"/>
  </conditionalFormatting>
  <conditionalFormatting sqref="O4:P4">
    <cfRule type="duplicateValues" dxfId="138" priority="211"/>
    <cfRule type="duplicateValues" dxfId="137" priority="210"/>
  </conditionalFormatting>
  <conditionalFormatting sqref="O5:P5">
    <cfRule type="duplicateValues" dxfId="136" priority="205"/>
    <cfRule type="duplicateValues" dxfId="135" priority="204"/>
  </conditionalFormatting>
  <conditionalFormatting sqref="O6:P6">
    <cfRule type="duplicateValues" dxfId="134" priority="201"/>
    <cfRule type="duplicateValues" dxfId="133" priority="200"/>
  </conditionalFormatting>
  <conditionalFormatting sqref="O7:P7">
    <cfRule type="duplicateValues" dxfId="132" priority="198"/>
    <cfRule type="duplicateValues" dxfId="131" priority="199"/>
  </conditionalFormatting>
  <conditionalFormatting sqref="O8:P8">
    <cfRule type="duplicateValues" dxfId="130" priority="194"/>
    <cfRule type="duplicateValues" dxfId="129" priority="193"/>
  </conditionalFormatting>
  <conditionalFormatting sqref="O9:P9">
    <cfRule type="duplicateValues" dxfId="128" priority="174"/>
    <cfRule type="duplicateValues" dxfId="127" priority="175"/>
  </conditionalFormatting>
  <conditionalFormatting sqref="O10:P10">
    <cfRule type="duplicateValues" dxfId="126" priority="171"/>
    <cfRule type="duplicateValues" dxfId="125" priority="170"/>
  </conditionalFormatting>
  <conditionalFormatting sqref="O11:P11">
    <cfRule type="duplicateValues" dxfId="124" priority="163"/>
    <cfRule type="duplicateValues" dxfId="123" priority="162"/>
  </conditionalFormatting>
  <conditionalFormatting sqref="O12:P12">
    <cfRule type="duplicateValues" dxfId="122" priority="158"/>
    <cfRule type="duplicateValues" dxfId="121" priority="159"/>
  </conditionalFormatting>
  <conditionalFormatting sqref="O13:P13">
    <cfRule type="duplicateValues" dxfId="120" priority="142"/>
    <cfRule type="duplicateValues" dxfId="119" priority="141"/>
  </conditionalFormatting>
  <conditionalFormatting sqref="O14:P14">
    <cfRule type="duplicateValues" dxfId="118" priority="110"/>
    <cfRule type="duplicateValues" dxfId="117" priority="109"/>
  </conditionalFormatting>
  <conditionalFormatting sqref="O15:P15">
    <cfRule type="duplicateValues" dxfId="116" priority="138"/>
    <cfRule type="duplicateValues" dxfId="115" priority="137"/>
  </conditionalFormatting>
  <conditionalFormatting sqref="O16:P16">
    <cfRule type="duplicateValues" dxfId="114" priority="118"/>
    <cfRule type="duplicateValues" dxfId="113" priority="117"/>
  </conditionalFormatting>
  <conditionalFormatting sqref="O17:P17">
    <cfRule type="duplicateValues" dxfId="112" priority="134"/>
    <cfRule type="duplicateValues" dxfId="111" priority="135"/>
  </conditionalFormatting>
  <conditionalFormatting sqref="O18:P18">
    <cfRule type="duplicateValues" dxfId="110" priority="130"/>
    <cfRule type="duplicateValues" dxfId="109" priority="131"/>
  </conditionalFormatting>
  <conditionalFormatting sqref="O19:P19">
    <cfRule type="duplicateValues" dxfId="108" priority="127"/>
    <cfRule type="duplicateValues" dxfId="107" priority="128"/>
  </conditionalFormatting>
  <conditionalFormatting sqref="O20:P20">
    <cfRule type="duplicateValues" dxfId="106" priority="123"/>
    <cfRule type="duplicateValues" dxfId="105" priority="122"/>
  </conditionalFormatting>
  <conditionalFormatting sqref="O21:P21">
    <cfRule type="duplicateValues" dxfId="104" priority="90"/>
    <cfRule type="duplicateValues" dxfId="103" priority="91"/>
  </conditionalFormatting>
  <conditionalFormatting sqref="O22:P22">
    <cfRule type="duplicateValues" dxfId="102" priority="89"/>
    <cfRule type="duplicateValues" dxfId="101" priority="88"/>
  </conditionalFormatting>
  <conditionalFormatting sqref="O23:P26 O28:P29">
    <cfRule type="duplicateValues" dxfId="100" priority="81"/>
    <cfRule type="duplicateValues" dxfId="99" priority="80"/>
  </conditionalFormatting>
  <conditionalFormatting sqref="O27:P27">
    <cfRule type="duplicateValues" dxfId="98" priority="82"/>
    <cfRule type="duplicateValues" dxfId="97" priority="83"/>
  </conditionalFormatting>
  <conditionalFormatting sqref="O30:P30">
    <cfRule type="duplicateValues" dxfId="96" priority="47"/>
    <cfRule type="duplicateValues" dxfId="95" priority="48"/>
  </conditionalFormatting>
  <conditionalFormatting sqref="O31:P32">
    <cfRule type="duplicateValues" dxfId="94" priority="43"/>
    <cfRule type="duplicateValues" dxfId="93" priority="44"/>
  </conditionalFormatting>
  <conditionalFormatting sqref="O34:P34">
    <cfRule type="duplicateValues" dxfId="92" priority="35"/>
    <cfRule type="duplicateValues" dxfId="91" priority="36"/>
  </conditionalFormatting>
  <conditionalFormatting sqref="O35:P35">
    <cfRule type="duplicateValues" dxfId="90" priority="19"/>
    <cfRule type="duplicateValues" dxfId="89" priority="20"/>
  </conditionalFormatting>
  <conditionalFormatting sqref="O36:P36">
    <cfRule type="duplicateValues" dxfId="88" priority="15"/>
    <cfRule type="duplicateValues" dxfId="87" priority="16"/>
  </conditionalFormatting>
  <conditionalFormatting sqref="O37:P37">
    <cfRule type="duplicateValues" dxfId="86" priority="8"/>
    <cfRule type="duplicateValues" dxfId="85" priority="9"/>
  </conditionalFormatting>
  <conditionalFormatting sqref="O38:P38">
    <cfRule type="duplicateValues" dxfId="84" priority="4"/>
    <cfRule type="duplicateValues" dxfId="83" priority="5"/>
  </conditionalFormatting>
  <conditionalFormatting sqref="O39:P39">
    <cfRule type="duplicateValues" dxfId="82" priority="479"/>
    <cfRule type="duplicateValues" dxfId="81" priority="478"/>
  </conditionalFormatting>
  <conditionalFormatting sqref="O48:P48">
    <cfRule type="duplicateValues" dxfId="80" priority="480"/>
  </conditionalFormatting>
  <conditionalFormatting sqref="P40:P47">
    <cfRule type="duplicateValues" dxfId="79" priority="188"/>
    <cfRule type="duplicateValues" dxfId="78" priority="187"/>
  </conditionalFormatting>
  <conditionalFormatting sqref="Q3">
    <cfRule type="duplicateValues" dxfId="77" priority="186"/>
    <cfRule type="duplicateValues" dxfId="76" priority="185"/>
    <cfRule type="duplicateValues" dxfId="75" priority="184"/>
  </conditionalFormatting>
  <conditionalFormatting sqref="Q6">
    <cfRule type="duplicateValues" dxfId="74" priority="182"/>
    <cfRule type="duplicateValues" dxfId="73" priority="183"/>
    <cfRule type="duplicateValues" dxfId="72" priority="181"/>
  </conditionalFormatting>
  <conditionalFormatting sqref="Q7">
    <cfRule type="duplicateValues" dxfId="71" priority="180"/>
    <cfRule type="duplicateValues" dxfId="70" priority="179"/>
    <cfRule type="duplicateValues" dxfId="69" priority="178"/>
  </conditionalFormatting>
  <conditionalFormatting sqref="Q10">
    <cfRule type="duplicateValues" dxfId="68" priority="156"/>
    <cfRule type="duplicateValues" dxfId="67" priority="155"/>
    <cfRule type="duplicateValues" dxfId="66" priority="157"/>
  </conditionalFormatting>
  <conditionalFormatting sqref="Q11">
    <cfRule type="duplicateValues" dxfId="65" priority="152"/>
    <cfRule type="duplicateValues" dxfId="64" priority="154"/>
    <cfRule type="duplicateValues" dxfId="63" priority="153"/>
  </conditionalFormatting>
  <conditionalFormatting sqref="Q12">
    <cfRule type="duplicateValues" dxfId="62" priority="149"/>
    <cfRule type="duplicateValues" dxfId="61" priority="150"/>
    <cfRule type="duplicateValues" dxfId="60" priority="151"/>
  </conditionalFormatting>
  <conditionalFormatting sqref="Q13">
    <cfRule type="duplicateValues" dxfId="59" priority="108"/>
    <cfRule type="duplicateValues" dxfId="58" priority="106"/>
    <cfRule type="duplicateValues" dxfId="57" priority="107"/>
  </conditionalFormatting>
  <conditionalFormatting sqref="Q14">
    <cfRule type="duplicateValues" dxfId="56" priority="96"/>
    <cfRule type="duplicateValues" dxfId="55" priority="95"/>
    <cfRule type="duplicateValues" dxfId="54" priority="94"/>
  </conditionalFormatting>
  <conditionalFormatting sqref="Q15">
    <cfRule type="duplicateValues" dxfId="53" priority="104"/>
    <cfRule type="duplicateValues" dxfId="52" priority="103"/>
    <cfRule type="duplicateValues" dxfId="51" priority="105"/>
  </conditionalFormatting>
  <conditionalFormatting sqref="Q18">
    <cfRule type="duplicateValues" dxfId="50" priority="102"/>
    <cfRule type="duplicateValues" dxfId="49" priority="101"/>
    <cfRule type="duplicateValues" dxfId="48" priority="100"/>
  </conditionalFormatting>
  <conditionalFormatting sqref="Q19">
    <cfRule type="duplicateValues" dxfId="47" priority="98"/>
    <cfRule type="duplicateValues" dxfId="46" priority="99"/>
    <cfRule type="duplicateValues" dxfId="45" priority="97"/>
  </conditionalFormatting>
  <conditionalFormatting sqref="Q22">
    <cfRule type="duplicateValues" dxfId="44" priority="77"/>
    <cfRule type="duplicateValues" dxfId="43" priority="75"/>
    <cfRule type="duplicateValues" dxfId="42" priority="76"/>
  </conditionalFormatting>
  <conditionalFormatting sqref="Q23">
    <cfRule type="duplicateValues" dxfId="41" priority="74"/>
    <cfRule type="duplicateValues" dxfId="40" priority="72"/>
    <cfRule type="duplicateValues" dxfId="39" priority="73"/>
  </conditionalFormatting>
  <conditionalFormatting sqref="Q24">
    <cfRule type="duplicateValues" dxfId="38" priority="69"/>
    <cfRule type="duplicateValues" dxfId="37" priority="71"/>
    <cfRule type="duplicateValues" dxfId="36" priority="70"/>
  </conditionalFormatting>
  <conditionalFormatting sqref="Q25">
    <cfRule type="duplicateValues" dxfId="35" priority="66"/>
    <cfRule type="duplicateValues" dxfId="34" priority="68"/>
    <cfRule type="duplicateValues" dxfId="33" priority="67"/>
  </conditionalFormatting>
  <conditionalFormatting sqref="Q26">
    <cfRule type="duplicateValues" dxfId="32" priority="65"/>
    <cfRule type="duplicateValues" dxfId="31" priority="64"/>
    <cfRule type="duplicateValues" dxfId="30" priority="63"/>
  </conditionalFormatting>
  <conditionalFormatting sqref="Q27">
    <cfRule type="duplicateValues" dxfId="29" priority="62"/>
    <cfRule type="duplicateValues" dxfId="28" priority="60"/>
    <cfRule type="duplicateValues" dxfId="27" priority="61"/>
  </conditionalFormatting>
  <conditionalFormatting sqref="Q28">
    <cfRule type="duplicateValues" dxfId="26" priority="57"/>
    <cfRule type="duplicateValues" dxfId="25" priority="58"/>
    <cfRule type="duplicateValues" dxfId="24" priority="59"/>
  </conditionalFormatting>
  <conditionalFormatting sqref="Q29">
    <cfRule type="duplicateValues" dxfId="23" priority="56"/>
    <cfRule type="duplicateValues" dxfId="22" priority="55"/>
    <cfRule type="duplicateValues" dxfId="21" priority="54"/>
  </conditionalFormatting>
  <conditionalFormatting sqref="Q30">
    <cfRule type="duplicateValues" dxfId="20" priority="34"/>
    <cfRule type="duplicateValues" dxfId="19" priority="33"/>
    <cfRule type="duplicateValues" dxfId="18" priority="32"/>
  </conditionalFormatting>
  <conditionalFormatting sqref="Q32">
    <cfRule type="duplicateValues" dxfId="17" priority="29"/>
    <cfRule type="duplicateValues" dxfId="16" priority="31"/>
    <cfRule type="duplicateValues" dxfId="15" priority="30"/>
  </conditionalFormatting>
  <conditionalFormatting sqref="Q33">
    <cfRule type="duplicateValues" dxfId="14" priority="28"/>
    <cfRule type="duplicateValues" dxfId="13" priority="26"/>
    <cfRule type="duplicateValues" dxfId="12" priority="27"/>
  </conditionalFormatting>
  <conditionalFormatting sqref="Q36">
    <cfRule type="duplicateValues" dxfId="11" priority="14"/>
    <cfRule type="duplicateValues" dxfId="10" priority="13"/>
    <cfRule type="duplicateValues" dxfId="9" priority="12"/>
  </conditionalFormatting>
  <conditionalFormatting sqref="Q38">
    <cfRule type="duplicateValues" dxfId="8" priority="1"/>
    <cfRule type="duplicateValues" dxfId="7" priority="3"/>
    <cfRule type="duplicateValues" dxfId="6" priority="2"/>
  </conditionalFormatting>
  <conditionalFormatting sqref="Q39">
    <cfRule type="duplicateValues" dxfId="5" priority="474"/>
    <cfRule type="duplicateValues" dxfId="4" priority="475"/>
    <cfRule type="duplicateValues" dxfId="3" priority="476"/>
  </conditionalFormatting>
  <conditionalFormatting sqref="Q42:Q45">
    <cfRule type="duplicateValues" dxfId="2" priority="457"/>
    <cfRule type="duplicateValues" dxfId="1" priority="458"/>
    <cfRule type="duplicateValues" dxfId="0" priority="45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admin5</dc:creator>
  <cp:lastModifiedBy>admin5</cp:lastModifiedBy>
  <dcterms:created xsi:type="dcterms:W3CDTF">2025-02-18T11:14:00Z</dcterms:created>
  <dcterms:modified xsi:type="dcterms:W3CDTF">2025-12-12T07:41:00Z</dcterms:modified>
</cp:coreProperties>
</file>