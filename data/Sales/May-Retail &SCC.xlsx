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aj\Desktop\"/>
    </mc:Choice>
  </mc:AlternateContent>
  <xr:revisionPtr revIDLastSave="0" documentId="13_ncr:1_{9E0727BC-E066-453F-AF14-87670AC29B82}" xr6:coauthVersionLast="47" xr6:coauthVersionMax="47" xr10:uidLastSave="{00000000-0000-0000-0000-000000000000}"/>
  <bookViews>
    <workbookView xWindow="-120" yWindow="-120" windowWidth="20730" windowHeight="11040" xr2:uid="{0A1C022A-7E5B-41AD-9AE2-B33124D0A9CF}"/>
  </bookViews>
  <sheets>
    <sheet name="Sheet1" sheetId="1" r:id="rId1"/>
    <sheet name="Sheet2" sheetId="2" r:id="rId2"/>
  </sheets>
  <definedNames>
    <definedName name="_xlnm._FilterDatabase" localSheetId="0" hidden="1">Sheet1!$A$2:$AI$30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4" i="1" l="1"/>
  <c r="N25" i="1"/>
  <c r="N26" i="1"/>
  <c r="N23" i="1"/>
  <c r="H9" i="2" l="1"/>
  <c r="E9" i="2"/>
  <c r="F9" i="2" s="1"/>
  <c r="D9" i="2"/>
  <c r="C9" i="2"/>
  <c r="G8" i="2"/>
  <c r="F8" i="2"/>
  <c r="G7" i="2"/>
  <c r="F7" i="2"/>
  <c r="G6" i="2"/>
  <c r="F6" i="2"/>
  <c r="G5" i="2"/>
  <c r="F5" i="2"/>
  <c r="G4" i="2"/>
  <c r="G9" i="2" s="1"/>
  <c r="F4" i="2"/>
</calcChain>
</file>

<file path=xl/sharedStrings.xml><?xml version="1.0" encoding="utf-8"?>
<sst xmlns="http://schemas.openxmlformats.org/spreadsheetml/2006/main" count="469" uniqueCount="271">
  <si>
    <t>Sl.No</t>
  </si>
  <si>
    <t>Model</t>
  </si>
  <si>
    <t>Color</t>
  </si>
  <si>
    <t>Trim</t>
  </si>
  <si>
    <t>Type</t>
  </si>
  <si>
    <t xml:space="preserve">Comm no </t>
  </si>
  <si>
    <t>Product Name</t>
  </si>
  <si>
    <t>Customer Name</t>
  </si>
  <si>
    <t>SC</t>
  </si>
  <si>
    <t>Bkng.Dt.</t>
  </si>
  <si>
    <t>Status</t>
  </si>
  <si>
    <t>SCC DONE</t>
  </si>
  <si>
    <t>Code</t>
  </si>
  <si>
    <t>Inv.Dt.</t>
  </si>
  <si>
    <t>Chassis no</t>
  </si>
  <si>
    <t>Engine</t>
  </si>
  <si>
    <t>Trans.ID</t>
  </si>
  <si>
    <t>Corporate</t>
  </si>
  <si>
    <t>Yard</t>
  </si>
  <si>
    <t>PDI</t>
  </si>
  <si>
    <t>197-OBSIDIAN BLACK</t>
  </si>
  <si>
    <t>GLS 450d</t>
  </si>
  <si>
    <t>124-BROWN</t>
  </si>
  <si>
    <t>X167 GLS 450d 4MATIC</t>
  </si>
  <si>
    <t>E220d</t>
  </si>
  <si>
    <t>197U-OBSIDIAN BLACK</t>
  </si>
  <si>
    <t>V214 E 220d</t>
  </si>
  <si>
    <t>GLE300d4M</t>
  </si>
  <si>
    <t>V167 GLE 300d 4MATIC AMG Line</t>
  </si>
  <si>
    <t>125A-ARTICO BEIGE</t>
  </si>
  <si>
    <t>149U-POLAR WHITE</t>
  </si>
  <si>
    <t>149U-polar white</t>
  </si>
  <si>
    <t>Nizamudheen</t>
  </si>
  <si>
    <t>X254 GLC 220d 4MATIC</t>
  </si>
  <si>
    <t>GLC220d</t>
  </si>
  <si>
    <t>April</t>
  </si>
  <si>
    <t>TL</t>
  </si>
  <si>
    <t>Target</t>
  </si>
  <si>
    <t>Achieved(inc.demo)</t>
  </si>
  <si>
    <t>April %</t>
  </si>
  <si>
    <t>Req.Productivity @1.5</t>
  </si>
  <si>
    <t>May Commitment</t>
  </si>
  <si>
    <t>Thrissur</t>
  </si>
  <si>
    <t>Kottayam+EKM</t>
  </si>
  <si>
    <t>Kozhikode</t>
  </si>
  <si>
    <t>Malappuram</t>
  </si>
  <si>
    <t>Kannur</t>
  </si>
  <si>
    <t>Total</t>
  </si>
  <si>
    <t>MAY DEMO WHOLESALE</t>
  </si>
  <si>
    <t>MAY DEMO RETAIL</t>
  </si>
  <si>
    <t>0482584714</t>
  </si>
  <si>
    <t>Liza Antony Proprietor</t>
  </si>
  <si>
    <t>Liji</t>
  </si>
  <si>
    <t>May invcd</t>
  </si>
  <si>
    <t>W1NFB0KB6SM029980</t>
  </si>
  <si>
    <t>65482080257942</t>
  </si>
  <si>
    <t>104A-LEATHERETTE - BROWN</t>
  </si>
  <si>
    <t>0582570691</t>
  </si>
  <si>
    <t>GLC 220d 4MATIC</t>
  </si>
  <si>
    <t>Ahammed V V</t>
  </si>
  <si>
    <t>W1NKM0FB0SL009913</t>
  </si>
  <si>
    <t>65482080295487</t>
  </si>
  <si>
    <t>0482587397</t>
  </si>
  <si>
    <t>K V Rameshkumar Proprietor K V R JEWEL MANUFACTURING AND TRADERS</t>
  </si>
  <si>
    <t>Munshar</t>
  </si>
  <si>
    <t>W1NKM0FB3SL009789</t>
  </si>
  <si>
    <t>65482080281320</t>
  </si>
  <si>
    <t>0482586601</t>
  </si>
  <si>
    <t>Pushpangadan K B</t>
  </si>
  <si>
    <t>Midhun Krishna</t>
  </si>
  <si>
    <t>W1NFB0KB3SM030715</t>
  </si>
  <si>
    <t>65482080267994</t>
  </si>
  <si>
    <t>AMG G63</t>
  </si>
  <si>
    <t>164-Manufaktur Dark Olive Gree</t>
  </si>
  <si>
    <t>917-MANUFAKTUR Black With Acce</t>
  </si>
  <si>
    <t>0582510029</t>
  </si>
  <si>
    <t>CBU W465 Mercedes-AMG G 63 4MATIC</t>
  </si>
  <si>
    <t>Venu Gopalakrishnan</t>
  </si>
  <si>
    <t>W1NWH5AB2SX040812</t>
  </si>
  <si>
    <t>17788060286103</t>
  </si>
  <si>
    <t>0482585089</t>
  </si>
  <si>
    <t>Aneesh Aboobacker Puttiyan Kattel</t>
  </si>
  <si>
    <t>Nafi</t>
  </si>
  <si>
    <t>W1NFF3DEXSM029803</t>
  </si>
  <si>
    <t>65683080049162</t>
  </si>
  <si>
    <t>186704(3064169)</t>
  </si>
  <si>
    <t>IN2510106573</t>
  </si>
  <si>
    <t>IN2510165518</t>
  </si>
  <si>
    <t>IN2510167025</t>
  </si>
  <si>
    <t>IN2510150563</t>
  </si>
  <si>
    <t>IN2510172994</t>
  </si>
  <si>
    <t>IN2510172530</t>
  </si>
  <si>
    <t>0482586982</t>
  </si>
  <si>
    <t>Mohamed Ghazal VM</t>
  </si>
  <si>
    <t>Ameer</t>
  </si>
  <si>
    <t>W1NFF3DE9SM030568</t>
  </si>
  <si>
    <t>65683080051185</t>
  </si>
  <si>
    <t>IN2510169795</t>
  </si>
  <si>
    <t>0482583778</t>
  </si>
  <si>
    <t>W1KLG0EB9SL004106</t>
  </si>
  <si>
    <t>65482080257832</t>
  </si>
  <si>
    <t>GLA220d4M</t>
  </si>
  <si>
    <t>105A-ARTICO - BEIGE</t>
  </si>
  <si>
    <t>0482587492</t>
  </si>
  <si>
    <t>GLA 220d 4MATIC</t>
  </si>
  <si>
    <t>Fandry Paul M</t>
  </si>
  <si>
    <t>W1N4N1FB5SL017582</t>
  </si>
  <si>
    <t>654920V0525637</t>
  </si>
  <si>
    <t>IN2510182161</t>
  </si>
  <si>
    <t>105A-BEIGE</t>
  </si>
  <si>
    <t>0482584216</t>
  </si>
  <si>
    <t>MANAGING PARTNER SOORYA CONSTRUCTIONS</t>
  </si>
  <si>
    <t>Ajmal</t>
  </si>
  <si>
    <t>W1NKM0FBXSL009272</t>
  </si>
  <si>
    <t>65482080258357</t>
  </si>
  <si>
    <t>0482587496</t>
  </si>
  <si>
    <t>Chittathattil Mohandas</t>
  </si>
  <si>
    <t>W1N4N1FB2SL017586</t>
  </si>
  <si>
    <t>654920V0525650</t>
  </si>
  <si>
    <t>149U-Polar White</t>
  </si>
  <si>
    <t>105A-LEATHERETTE - BEIGE</t>
  </si>
  <si>
    <t>SRM</t>
  </si>
  <si>
    <t>0482586101</t>
  </si>
  <si>
    <t>Jimmy Mathew George</t>
  </si>
  <si>
    <t>Anandhu</t>
  </si>
  <si>
    <t>W1N4N1FB1SL017319</t>
  </si>
  <si>
    <t>654920V0520053</t>
  </si>
  <si>
    <t>0482585203</t>
  </si>
  <si>
    <t>Asif Mohammed</t>
  </si>
  <si>
    <t>W1NFF3DE0SM030085</t>
  </si>
  <si>
    <t>65683080049272</t>
  </si>
  <si>
    <t>E200</t>
  </si>
  <si>
    <t>0582571742</t>
  </si>
  <si>
    <t>V214 E 200</t>
  </si>
  <si>
    <t>SHIBU THOMAS</t>
  </si>
  <si>
    <t>W1KLG5AB5SL006230</t>
  </si>
  <si>
    <t>254920V0862898</t>
  </si>
  <si>
    <t>Trnst</t>
  </si>
  <si>
    <t>IN2510183595</t>
  </si>
  <si>
    <t>IN2510182545</t>
  </si>
  <si>
    <t>IN2510187986</t>
  </si>
  <si>
    <t>IN2510176814</t>
  </si>
  <si>
    <t>IN2510178806</t>
  </si>
  <si>
    <t>GLC 300</t>
  </si>
  <si>
    <t>104A-ARTICO BROWN</t>
  </si>
  <si>
    <t>TRSR</t>
  </si>
  <si>
    <t>0482587416</t>
  </si>
  <si>
    <t>X254 GLC 300 4MATIC</t>
  </si>
  <si>
    <t>C Jaijo Jose</t>
  </si>
  <si>
    <t>W1NKM4HB8SL009808</t>
  </si>
  <si>
    <t>254920V0817834</t>
  </si>
  <si>
    <t>191U-cosmos black</t>
  </si>
  <si>
    <t>0482586137</t>
  </si>
  <si>
    <t>GLA220D4M</t>
  </si>
  <si>
    <t>Sethumadhavan Kongarapulli</t>
  </si>
  <si>
    <t>Sreejesh</t>
  </si>
  <si>
    <t>W1N4N1FB5SL017355</t>
  </si>
  <si>
    <t>654920V0520093</t>
  </si>
  <si>
    <t>IN2510165559</t>
  </si>
  <si>
    <t>IN2510171112</t>
  </si>
  <si>
    <t>191U-COSMOS BLACK</t>
  </si>
  <si>
    <t>0482584488</t>
  </si>
  <si>
    <t>001 H247 GLA 220d 4MATIC 191 105</t>
  </si>
  <si>
    <t>Sajeer Koyiloth, Mng.Partner, Ahlan Copper Kitchen</t>
  </si>
  <si>
    <t>Ameer-12/05</t>
  </si>
  <si>
    <t>VH0000002018</t>
  </si>
  <si>
    <t>W1N4N1FB3SL017242</t>
  </si>
  <si>
    <t>654920V0517367</t>
  </si>
  <si>
    <t>0482586090</t>
  </si>
  <si>
    <t>H247 GLA 220d 4MATIC</t>
  </si>
  <si>
    <t>Dr K S SALEEM</t>
  </si>
  <si>
    <t>Shreenidhi</t>
  </si>
  <si>
    <t>W1N4N1FB7SL017308</t>
  </si>
  <si>
    <t>654920V0520068</t>
  </si>
  <si>
    <t>197U-obsidian black</t>
  </si>
  <si>
    <t>0482585591</t>
  </si>
  <si>
    <t>Mohammed Hashim Pareed</t>
  </si>
  <si>
    <t>Shahabas</t>
  </si>
  <si>
    <t>W1KLG0EB6SL004791</t>
  </si>
  <si>
    <t>65482080267804</t>
  </si>
  <si>
    <t>0482579427</t>
  </si>
  <si>
    <t>0482584145</t>
  </si>
  <si>
    <t>0582570977</t>
  </si>
  <si>
    <t>149-POLAR WHITE</t>
  </si>
  <si>
    <t>135-BEIGE</t>
  </si>
  <si>
    <t>W1NFF3DE4SM026685</t>
  </si>
  <si>
    <t>W1NKM0FB9SL009201</t>
  </si>
  <si>
    <t>W1N4N1FB7SL017843</t>
  </si>
  <si>
    <t>65683080039824</t>
  </si>
  <si>
    <t>65482080258297</t>
  </si>
  <si>
    <t>654920V0533440</t>
  </si>
  <si>
    <t>0582570692</t>
  </si>
  <si>
    <t>Chittoor Parapurath Noushad Partner Onyx Marbles and Tiles</t>
  </si>
  <si>
    <t>W1NKM0FB2SL009914</t>
  </si>
  <si>
    <t>65482080295498</t>
  </si>
  <si>
    <t>IN2510181356</t>
  </si>
  <si>
    <t>IN2510096134</t>
  </si>
  <si>
    <t>IN2510165735</t>
  </si>
  <si>
    <t>C 200</t>
  </si>
  <si>
    <t>0582570648</t>
  </si>
  <si>
    <t>W206 C 200</t>
  </si>
  <si>
    <t>GEORGE KOIKKATTIL GEORGE</t>
  </si>
  <si>
    <t>W1KAF4CB7SL018168</t>
  </si>
  <si>
    <t>254915V0843662</t>
  </si>
  <si>
    <t>IN2510179992</t>
  </si>
  <si>
    <t>124A-ARTICO BROWN</t>
  </si>
  <si>
    <t>0482587131</t>
  </si>
  <si>
    <t>Designated Partner Amend Dental Centre LLP</t>
  </si>
  <si>
    <t>W1KLG0EB2SL005131</t>
  </si>
  <si>
    <t>65482080281135</t>
  </si>
  <si>
    <t>C 220d</t>
  </si>
  <si>
    <t>922U-HIGH-TECH-SILVER</t>
  </si>
  <si>
    <t>101A-ARTICO BLACK</t>
  </si>
  <si>
    <t>0582570599</t>
  </si>
  <si>
    <t>W206 C 220d</t>
  </si>
  <si>
    <t>Thomas Joseph</t>
  </si>
  <si>
    <t>W1KAF0EB7SL018287</t>
  </si>
  <si>
    <t>65482080295133</t>
  </si>
  <si>
    <t>IN2510191103</t>
  </si>
  <si>
    <t>IN2510186844</t>
  </si>
  <si>
    <t>651A-MICROFIBER - BLACK</t>
  </si>
  <si>
    <t>0482586155</t>
  </si>
  <si>
    <t>GLA 220d 4MATIC AMG Line</t>
  </si>
  <si>
    <t>Raif Kotti Kollon Proprietor Elite Gold And Diamonds</t>
  </si>
  <si>
    <t>Josbin</t>
  </si>
  <si>
    <t>W1N4N1FB9SL017469</t>
  </si>
  <si>
    <t>654920V0520145</t>
  </si>
  <si>
    <t>0482586645</t>
  </si>
  <si>
    <t>Shamsudheen K H</t>
  </si>
  <si>
    <t>W1NFB0KB7SM030927</t>
  </si>
  <si>
    <t>65482080268047</t>
  </si>
  <si>
    <t>IN2510185772</t>
  </si>
  <si>
    <t>IN2510188777</t>
  </si>
  <si>
    <t>Replacement against Apr E220d(0482583833). Reversed due to car technical issues</t>
  </si>
  <si>
    <t>0482583202</t>
  </si>
  <si>
    <t>AETRIO DEVELOPERS Private Limited</t>
  </si>
  <si>
    <t>Fousia</t>
  </si>
  <si>
    <t>W1NFB0KB9SM029116</t>
  </si>
  <si>
    <t>65482080242303</t>
  </si>
  <si>
    <t>0482587688</t>
  </si>
  <si>
    <t>GLS 450d 4MATIC</t>
  </si>
  <si>
    <t>Abdul Kareem M M</t>
  </si>
  <si>
    <t>Safeer</t>
  </si>
  <si>
    <t>W1NFF3DE9SM031106</t>
  </si>
  <si>
    <t>65683080054423</t>
  </si>
  <si>
    <t>IN2510191479</t>
  </si>
  <si>
    <t>IN2510186654</t>
  </si>
  <si>
    <t>0482581564</t>
  </si>
  <si>
    <t>Saidalavi Kuttasheri Managing Director Alensso Trading Private Limited</t>
  </si>
  <si>
    <t>W1NFF3DE6SM027790</t>
  </si>
  <si>
    <t>65683080043761</t>
  </si>
  <si>
    <t>IN2510180779</t>
  </si>
  <si>
    <t>0582570798</t>
  </si>
  <si>
    <t>Noorul Ameen, Classy Tech Trading and Contracting</t>
  </si>
  <si>
    <t>W1NKM0FB7SL010038</t>
  </si>
  <si>
    <t>65482080295506</t>
  </si>
  <si>
    <t>IN2510191145</t>
  </si>
  <si>
    <t>0482586188</t>
  </si>
  <si>
    <t>H247 GLA 220d 4MATIC AMG Line</t>
  </si>
  <si>
    <t>P J Joseph</t>
  </si>
  <si>
    <t>Nidhin</t>
  </si>
  <si>
    <t>W1N4N1FB3SL017502</t>
  </si>
  <si>
    <t>654920V0520151</t>
  </si>
  <si>
    <t>0482587490</t>
  </si>
  <si>
    <t>Arun Vincent</t>
  </si>
  <si>
    <t>W1N4N1FB1SL017580</t>
  </si>
  <si>
    <t>654920V0525645</t>
  </si>
  <si>
    <t>MAY SALES CARD CAPTURE</t>
  </si>
  <si>
    <t>RETAIL WITHOUT SCC</t>
  </si>
  <si>
    <t>IN2510190442</t>
  </si>
  <si>
    <t>BNI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</si>
</sst>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orpoS"/>
    </font>
    <font>
      <b/>
      <sz val="11"/>
      <name val="CorpoS"/>
    </font>
    <font>
      <sz val="11"/>
      <color theme="1"/>
      <name val="CorpoS"/>
      <family val="2"/>
    </font>
    <font>
      <sz val="11"/>
      <name val="Aptos Narrow"/>
      <family val="2"/>
      <scheme val="minor"/>
    </font>
    <font>
      <sz val="11"/>
      <color theme="1"/>
      <name val="CorpoS"/>
    </font>
    <font>
      <sz val="11"/>
      <name val="CorpoS"/>
      <family val="2"/>
    </font>
    <font>
      <b/>
      <sz val="11"/>
      <color rgb="FF000000"/>
      <name val="Aptos Narrow"/>
      <family val="2"/>
      <scheme val="minor"/>
    </font>
    <font>
      <sz val="11"/>
      <name val="Aptos Narrow"/>
      <family val="2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0" borderId="0" xfId="0" applyFont="1"/>
    <xf numFmtId="0" fontId="6" fillId="0" borderId="3" xfId="0" applyFon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Border="1"/>
    <xf numFmtId="0" fontId="0" fillId="0" borderId="3" xfId="0" quotePrefix="1" applyBorder="1" applyAlignment="1">
      <alignment horizontal="center"/>
    </xf>
    <xf numFmtId="14" fontId="5" fillId="0" borderId="3" xfId="0" applyNumberFormat="1" applyFont="1" applyBorder="1" applyAlignment="1">
      <alignment horizontal="right"/>
    </xf>
    <xf numFmtId="0" fontId="5" fillId="0" borderId="3" xfId="0" applyFont="1" applyBorder="1"/>
    <xf numFmtId="0" fontId="0" fillId="4" borderId="3" xfId="0" applyFill="1" applyBorder="1" applyAlignment="1">
      <alignment horizontal="center"/>
    </xf>
    <xf numFmtId="14" fontId="7" fillId="0" borderId="3" xfId="0" applyNumberFormat="1" applyFont="1" applyBorder="1"/>
    <xf numFmtId="0" fontId="6" fillId="0" borderId="3" xfId="0" applyFont="1" applyBorder="1"/>
    <xf numFmtId="0" fontId="0" fillId="0" borderId="3" xfId="0" applyBorder="1" applyAlignment="1">
      <alignment vertical="top"/>
    </xf>
    <xf numFmtId="0" fontId="0" fillId="0" borderId="3" xfId="0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6" fillId="0" borderId="3" xfId="0" quotePrefix="1" applyFont="1" applyBorder="1"/>
    <xf numFmtId="0" fontId="5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" fontId="1" fillId="0" borderId="3" xfId="0" applyNumberFormat="1" applyFont="1" applyBorder="1" applyAlignment="1">
      <alignment horizontal="left"/>
    </xf>
    <xf numFmtId="0" fontId="0" fillId="0" borderId="3" xfId="0" applyBorder="1" applyAlignment="1">
      <alignment horizontal="center" vertical="top"/>
    </xf>
    <xf numFmtId="0" fontId="10" fillId="0" borderId="3" xfId="0" applyFont="1" applyBorder="1"/>
    <xf numFmtId="14" fontId="5" fillId="0" borderId="5" xfId="0" applyNumberFormat="1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1" fillId="0" borderId="3" xfId="2" quotePrefix="1" applyBorder="1"/>
    <xf numFmtId="14" fontId="1" fillId="0" borderId="3" xfId="0" applyNumberFormat="1" applyFont="1" applyBorder="1" applyAlignment="1">
      <alignment horizontal="left"/>
    </xf>
    <xf numFmtId="14" fontId="5" fillId="0" borderId="3" xfId="0" applyNumberFormat="1" applyFont="1" applyBorder="1" applyAlignment="1">
      <alignment horizontal="center"/>
    </xf>
    <xf numFmtId="0" fontId="6" fillId="0" borderId="3" xfId="1" applyFont="1" applyBorder="1"/>
    <xf numFmtId="14" fontId="0" fillId="0" borderId="3" xfId="0" applyNumberFormat="1" applyBorder="1" applyAlignment="1">
      <alignment horizontal="left" vertical="top"/>
    </xf>
    <xf numFmtId="0" fontId="8" fillId="0" borderId="3" xfId="0" applyFont="1" applyBorder="1" applyAlignment="1">
      <alignment horizontal="center" vertical="top"/>
    </xf>
    <xf numFmtId="14" fontId="5" fillId="0" borderId="3" xfId="0" applyNumberFormat="1" applyFont="1" applyBorder="1" applyAlignment="1">
      <alignment horizontal="left"/>
    </xf>
    <xf numFmtId="14" fontId="5" fillId="0" borderId="3" xfId="0" applyNumberFormat="1" applyFont="1" applyBorder="1"/>
    <xf numFmtId="0" fontId="8" fillId="4" borderId="3" xfId="0" applyFont="1" applyFill="1" applyBorder="1" applyAlignment="1">
      <alignment horizontal="center"/>
    </xf>
    <xf numFmtId="0" fontId="2" fillId="0" borderId="0" xfId="0" applyFont="1"/>
    <xf numFmtId="9" fontId="0" fillId="0" borderId="3" xfId="3" applyFon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2" fillId="0" borderId="3" xfId="0" applyFont="1" applyBorder="1"/>
    <xf numFmtId="9" fontId="2" fillId="0" borderId="3" xfId="3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0" fontId="0" fillId="0" borderId="3" xfId="0" applyBorder="1" applyAlignment="1">
      <alignment horizontal="left" vertical="top"/>
    </xf>
    <xf numFmtId="14" fontId="0" fillId="0" borderId="3" xfId="0" applyNumberFormat="1" applyBorder="1"/>
    <xf numFmtId="0" fontId="0" fillId="0" borderId="3" xfId="0" applyBorder="1" applyAlignment="1">
      <alignment horizontal="left" wrapText="1"/>
    </xf>
    <xf numFmtId="0" fontId="11" fillId="3" borderId="3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6" fillId="0" borderId="0" xfId="0" applyFont="1"/>
    <xf numFmtId="0" fontId="12" fillId="0" borderId="3" xfId="0" quotePrefix="1" applyFont="1" applyBorder="1" applyAlignment="1">
      <alignment horizontal="center"/>
    </xf>
    <xf numFmtId="0" fontId="12" fillId="0" borderId="3" xfId="0" applyFont="1" applyBorder="1"/>
    <xf numFmtId="0" fontId="11" fillId="5" borderId="3" xfId="0" applyFont="1" applyFill="1" applyBorder="1" applyAlignment="1">
      <alignment horizontal="center"/>
    </xf>
    <xf numFmtId="0" fontId="2" fillId="0" borderId="2" xfId="0" applyFont="1" applyBorder="1"/>
    <xf numFmtId="14" fontId="0" fillId="0" borderId="3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</cellXfs>
  <cellStyles count="4">
    <cellStyle name="Normal" xfId="0" builtinId="0"/>
    <cellStyle name="Normal 4" xfId="2" xr:uid="{EDB4C08D-5B81-4BD0-9CE6-1BF961A2A0CB}"/>
    <cellStyle name="Normal 63" xfId="1" xr:uid="{3F271896-FD0A-41DD-AB89-A88A8BA1F7A9}"/>
    <cellStyle name="Percent" xfId="3" builtinId="5"/>
  </cellStyles>
  <dxfs count="19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D3314-CFEC-4178-89A2-6E7C598D8A82}">
  <dimension ref="A1:V43"/>
  <sheetViews>
    <sheetView tabSelected="1" workbookViewId="0">
      <selection activeCell="C4" sqref="C4"/>
    </sheetView>
  </sheetViews>
  <sheetFormatPr defaultRowHeight="15" x14ac:dyDescent="0.25"/>
  <cols>
    <col min="1" max="1" width="6.7109375" customWidth="1"/>
    <col min="2" max="2" width="12.7109375" customWidth="1"/>
    <col min="3" max="3" width="18.28515625" customWidth="1"/>
    <col min="4" max="4" width="19.85546875" customWidth="1"/>
    <col min="6" max="6" width="12.5703125" style="1" customWidth="1"/>
    <col min="7" max="7" width="34.28515625" customWidth="1"/>
    <col min="8" max="8" width="24.140625" customWidth="1"/>
    <col min="9" max="9" width="12.5703125" customWidth="1"/>
    <col min="10" max="10" width="11.28515625" customWidth="1"/>
    <col min="11" max="11" width="18.42578125" bestFit="1" customWidth="1"/>
    <col min="12" max="12" width="14.28515625" bestFit="1" customWidth="1"/>
    <col min="13" max="13" width="15.5703125" bestFit="1" customWidth="1"/>
    <col min="14" max="14" width="12.7109375" style="1" customWidth="1"/>
    <col min="15" max="15" width="20.85546875" customWidth="1"/>
    <col min="16" max="16" width="16.140625" customWidth="1"/>
    <col min="17" max="17" width="13.140625" bestFit="1" customWidth="1"/>
    <col min="18" max="18" width="12.42578125" bestFit="1" customWidth="1"/>
  </cols>
  <sheetData>
    <row r="1" spans="1:21" ht="18" customHeight="1" x14ac:dyDescent="0.25">
      <c r="F1" s="61" t="s">
        <v>267</v>
      </c>
      <c r="G1" s="61"/>
      <c r="H1" s="61"/>
      <c r="I1" s="62"/>
    </row>
    <row r="2" spans="1:21" x14ac:dyDescent="0.25">
      <c r="A2" s="2" t="s">
        <v>0</v>
      </c>
      <c r="B2" s="2" t="s">
        <v>1</v>
      </c>
      <c r="C2" s="3" t="s">
        <v>2</v>
      </c>
      <c r="D2" s="2" t="s">
        <v>3</v>
      </c>
      <c r="E2" s="2" t="s">
        <v>4</v>
      </c>
      <c r="F2" s="4" t="s">
        <v>5</v>
      </c>
      <c r="G2" s="2" t="s">
        <v>6</v>
      </c>
      <c r="H2" s="2" t="s">
        <v>7</v>
      </c>
      <c r="I2" s="5" t="s">
        <v>8</v>
      </c>
      <c r="J2" s="6" t="s">
        <v>9</v>
      </c>
      <c r="K2" s="5" t="s">
        <v>10</v>
      </c>
      <c r="L2" s="7" t="s">
        <v>11</v>
      </c>
      <c r="M2" s="2" t="s">
        <v>12</v>
      </c>
      <c r="N2" s="8" t="s">
        <v>13</v>
      </c>
      <c r="O2" s="8" t="s">
        <v>14</v>
      </c>
      <c r="P2" s="5" t="s">
        <v>15</v>
      </c>
      <c r="Q2" s="9" t="s">
        <v>16</v>
      </c>
      <c r="R2" s="9" t="s">
        <v>17</v>
      </c>
    </row>
    <row r="3" spans="1:21" s="10" customFormat="1" x14ac:dyDescent="0.25">
      <c r="A3" s="11">
        <v>1</v>
      </c>
      <c r="B3" s="12" t="s">
        <v>27</v>
      </c>
      <c r="C3" s="13" t="s">
        <v>20</v>
      </c>
      <c r="D3" s="13" t="s">
        <v>22</v>
      </c>
      <c r="E3" s="22" t="s">
        <v>19</v>
      </c>
      <c r="F3" s="14" t="s">
        <v>50</v>
      </c>
      <c r="G3" s="13" t="s">
        <v>28</v>
      </c>
      <c r="H3" s="13" t="s">
        <v>51</v>
      </c>
      <c r="I3" s="13" t="s">
        <v>52</v>
      </c>
      <c r="J3" s="15">
        <v>45744</v>
      </c>
      <c r="K3" s="13" t="s">
        <v>53</v>
      </c>
      <c r="L3" s="16" t="s">
        <v>11</v>
      </c>
      <c r="M3" s="17">
        <v>171191</v>
      </c>
      <c r="N3" s="18">
        <v>45792</v>
      </c>
      <c r="O3" s="19" t="s">
        <v>54</v>
      </c>
      <c r="P3" s="19" t="s">
        <v>55</v>
      </c>
      <c r="Q3" s="19" t="s">
        <v>86</v>
      </c>
      <c r="R3" s="16" t="s">
        <v>270</v>
      </c>
      <c r="S3"/>
    </row>
    <row r="4" spans="1:21" s="10" customFormat="1" x14ac:dyDescent="0.25">
      <c r="A4" s="11">
        <v>2</v>
      </c>
      <c r="B4" s="13" t="s">
        <v>34</v>
      </c>
      <c r="C4" s="12" t="s">
        <v>30</v>
      </c>
      <c r="D4" s="12" t="s">
        <v>56</v>
      </c>
      <c r="E4" s="22" t="s">
        <v>19</v>
      </c>
      <c r="F4" s="14" t="s">
        <v>57</v>
      </c>
      <c r="G4" s="13" t="s">
        <v>58</v>
      </c>
      <c r="H4" s="13" t="s">
        <v>59</v>
      </c>
      <c r="I4" s="13" t="s">
        <v>32</v>
      </c>
      <c r="J4" s="15">
        <v>45705</v>
      </c>
      <c r="K4" s="13" t="s">
        <v>53</v>
      </c>
      <c r="L4" s="16" t="s">
        <v>11</v>
      </c>
      <c r="M4" s="43">
        <v>3387338</v>
      </c>
      <c r="N4" s="18">
        <v>45797</v>
      </c>
      <c r="O4" s="19" t="s">
        <v>60</v>
      </c>
      <c r="P4" s="19" t="s">
        <v>61</v>
      </c>
      <c r="Q4" s="19" t="s">
        <v>87</v>
      </c>
      <c r="R4" s="16" t="s">
        <v>270</v>
      </c>
      <c r="S4"/>
    </row>
    <row r="5" spans="1:21" s="10" customFormat="1" x14ac:dyDescent="0.25">
      <c r="A5" s="11">
        <v>3</v>
      </c>
      <c r="B5" s="13" t="s">
        <v>34</v>
      </c>
      <c r="C5" s="13" t="s">
        <v>25</v>
      </c>
      <c r="D5" s="13" t="s">
        <v>56</v>
      </c>
      <c r="E5" s="22" t="s">
        <v>19</v>
      </c>
      <c r="F5" s="14" t="s">
        <v>62</v>
      </c>
      <c r="G5" s="13" t="s">
        <v>33</v>
      </c>
      <c r="H5" s="13" t="s">
        <v>63</v>
      </c>
      <c r="I5" s="13" t="s">
        <v>64</v>
      </c>
      <c r="J5" s="15">
        <v>45787</v>
      </c>
      <c r="K5" s="13" t="s">
        <v>53</v>
      </c>
      <c r="L5" s="16" t="s">
        <v>11</v>
      </c>
      <c r="M5" s="17">
        <v>190954</v>
      </c>
      <c r="N5" s="18">
        <v>45797</v>
      </c>
      <c r="O5" s="19" t="s">
        <v>65</v>
      </c>
      <c r="P5" s="24" t="s">
        <v>66</v>
      </c>
      <c r="Q5" s="19" t="s">
        <v>88</v>
      </c>
      <c r="R5" s="16" t="s">
        <v>270</v>
      </c>
      <c r="S5"/>
    </row>
    <row r="6" spans="1:21" s="10" customFormat="1" x14ac:dyDescent="0.25">
      <c r="A6" s="11">
        <v>4</v>
      </c>
      <c r="B6" s="12" t="s">
        <v>27</v>
      </c>
      <c r="C6" s="13" t="s">
        <v>20</v>
      </c>
      <c r="D6" s="13" t="s">
        <v>22</v>
      </c>
      <c r="E6" s="22" t="s">
        <v>19</v>
      </c>
      <c r="F6" s="14" t="s">
        <v>67</v>
      </c>
      <c r="G6" s="13" t="s">
        <v>28</v>
      </c>
      <c r="H6" s="12" t="s">
        <v>68</v>
      </c>
      <c r="I6" s="12" t="s">
        <v>69</v>
      </c>
      <c r="J6" s="15">
        <v>45755</v>
      </c>
      <c r="K6" s="13" t="s">
        <v>53</v>
      </c>
      <c r="L6" s="16" t="s">
        <v>11</v>
      </c>
      <c r="M6" s="17" t="s">
        <v>85</v>
      </c>
      <c r="N6" s="18">
        <v>45798</v>
      </c>
      <c r="O6" s="19" t="s">
        <v>70</v>
      </c>
      <c r="P6" s="24" t="s">
        <v>71</v>
      </c>
      <c r="Q6" s="19" t="s">
        <v>89</v>
      </c>
      <c r="R6" s="16" t="s">
        <v>270</v>
      </c>
      <c r="S6"/>
    </row>
    <row r="7" spans="1:21" s="10" customFormat="1" x14ac:dyDescent="0.25">
      <c r="A7" s="11">
        <v>5</v>
      </c>
      <c r="B7" s="13" t="s">
        <v>72</v>
      </c>
      <c r="C7" s="13" t="s">
        <v>73</v>
      </c>
      <c r="D7" s="13" t="s">
        <v>74</v>
      </c>
      <c r="E7" s="22" t="s">
        <v>19</v>
      </c>
      <c r="F7" s="14" t="s">
        <v>75</v>
      </c>
      <c r="G7" s="13" t="s">
        <v>76</v>
      </c>
      <c r="H7" s="13" t="s">
        <v>77</v>
      </c>
      <c r="I7" s="13" t="s">
        <v>69</v>
      </c>
      <c r="J7" s="15">
        <v>45154</v>
      </c>
      <c r="K7" s="13" t="s">
        <v>53</v>
      </c>
      <c r="L7" s="16" t="s">
        <v>11</v>
      </c>
      <c r="M7" s="17">
        <v>3060033</v>
      </c>
      <c r="N7" s="18">
        <v>45799</v>
      </c>
      <c r="O7" s="19" t="s">
        <v>78</v>
      </c>
      <c r="P7" s="19" t="s">
        <v>79</v>
      </c>
      <c r="Q7" s="19" t="s">
        <v>90</v>
      </c>
      <c r="R7" s="16"/>
      <c r="S7"/>
    </row>
    <row r="8" spans="1:21" s="10" customFormat="1" x14ac:dyDescent="0.25">
      <c r="A8" s="11">
        <v>6</v>
      </c>
      <c r="B8" s="12" t="s">
        <v>21</v>
      </c>
      <c r="C8" s="13" t="s">
        <v>20</v>
      </c>
      <c r="D8" s="13" t="s">
        <v>22</v>
      </c>
      <c r="E8" s="22" t="s">
        <v>19</v>
      </c>
      <c r="F8" s="14" t="s">
        <v>80</v>
      </c>
      <c r="G8" s="13" t="s">
        <v>23</v>
      </c>
      <c r="H8" s="13" t="s">
        <v>81</v>
      </c>
      <c r="I8" s="13" t="s">
        <v>82</v>
      </c>
      <c r="J8" s="15">
        <v>45763</v>
      </c>
      <c r="K8" s="13" t="s">
        <v>53</v>
      </c>
      <c r="L8" s="16" t="s">
        <v>11</v>
      </c>
      <c r="M8" s="17">
        <v>180226</v>
      </c>
      <c r="N8" s="18">
        <v>45799</v>
      </c>
      <c r="O8" s="19" t="s">
        <v>83</v>
      </c>
      <c r="P8" s="24" t="s">
        <v>84</v>
      </c>
      <c r="Q8" s="19" t="s">
        <v>91</v>
      </c>
      <c r="R8" s="16" t="s">
        <v>270</v>
      </c>
      <c r="S8"/>
    </row>
    <row r="9" spans="1:21" s="10" customFormat="1" x14ac:dyDescent="0.25">
      <c r="A9" s="11">
        <v>7</v>
      </c>
      <c r="B9" s="33" t="s">
        <v>101</v>
      </c>
      <c r="C9" s="13" t="s">
        <v>31</v>
      </c>
      <c r="D9" s="52" t="s">
        <v>102</v>
      </c>
      <c r="E9" s="22" t="s">
        <v>19</v>
      </c>
      <c r="F9" s="14" t="s">
        <v>103</v>
      </c>
      <c r="G9" s="13" t="s">
        <v>104</v>
      </c>
      <c r="H9" s="13" t="s">
        <v>105</v>
      </c>
      <c r="I9" s="13" t="s">
        <v>52</v>
      </c>
      <c r="J9" s="15">
        <v>45799</v>
      </c>
      <c r="K9" s="13" t="s">
        <v>53</v>
      </c>
      <c r="L9" s="16" t="s">
        <v>11</v>
      </c>
      <c r="M9" s="17">
        <v>187699</v>
      </c>
      <c r="N9" s="18">
        <v>45802</v>
      </c>
      <c r="O9" s="19" t="s">
        <v>106</v>
      </c>
      <c r="P9" s="19" t="s">
        <v>107</v>
      </c>
      <c r="Q9" s="19" t="s">
        <v>108</v>
      </c>
      <c r="R9" s="16" t="s">
        <v>270</v>
      </c>
      <c r="S9"/>
    </row>
    <row r="10" spans="1:21" s="10" customFormat="1" x14ac:dyDescent="0.25">
      <c r="A10" s="11">
        <v>8</v>
      </c>
      <c r="B10" s="13" t="s">
        <v>34</v>
      </c>
      <c r="C10" s="13" t="s">
        <v>31</v>
      </c>
      <c r="D10" s="13" t="s">
        <v>109</v>
      </c>
      <c r="E10" s="21" t="s">
        <v>18</v>
      </c>
      <c r="F10" s="14" t="s">
        <v>110</v>
      </c>
      <c r="G10" s="13" t="s">
        <v>33</v>
      </c>
      <c r="H10" s="13" t="s">
        <v>111</v>
      </c>
      <c r="I10" s="13" t="s">
        <v>112</v>
      </c>
      <c r="J10" s="15">
        <v>45771</v>
      </c>
      <c r="K10" s="13" t="s">
        <v>53</v>
      </c>
      <c r="L10" s="16" t="s">
        <v>11</v>
      </c>
      <c r="M10" s="17">
        <v>3383188</v>
      </c>
      <c r="N10" s="18">
        <v>45805</v>
      </c>
      <c r="O10" s="19" t="s">
        <v>113</v>
      </c>
      <c r="P10" s="19" t="s">
        <v>114</v>
      </c>
      <c r="Q10" s="19" t="s">
        <v>138</v>
      </c>
      <c r="R10" s="16" t="s">
        <v>270</v>
      </c>
      <c r="S10"/>
    </row>
    <row r="11" spans="1:21" s="10" customFormat="1" x14ac:dyDescent="0.25">
      <c r="A11" s="11">
        <v>9</v>
      </c>
      <c r="B11" s="33" t="s">
        <v>101</v>
      </c>
      <c r="C11" s="13" t="s">
        <v>31</v>
      </c>
      <c r="D11" s="52" t="s">
        <v>102</v>
      </c>
      <c r="E11" s="22" t="s">
        <v>19</v>
      </c>
      <c r="F11" s="14" t="s">
        <v>115</v>
      </c>
      <c r="G11" s="13" t="s">
        <v>104</v>
      </c>
      <c r="H11" s="19" t="s">
        <v>116</v>
      </c>
      <c r="I11" s="13" t="s">
        <v>52</v>
      </c>
      <c r="J11" s="15">
        <v>45799</v>
      </c>
      <c r="K11" s="13" t="s">
        <v>53</v>
      </c>
      <c r="L11" s="16" t="s">
        <v>11</v>
      </c>
      <c r="M11" s="17">
        <v>2716108</v>
      </c>
      <c r="N11" s="18">
        <v>45805</v>
      </c>
      <c r="O11" s="19" t="s">
        <v>117</v>
      </c>
      <c r="P11" s="19" t="s">
        <v>118</v>
      </c>
      <c r="Q11" s="19" t="s">
        <v>139</v>
      </c>
      <c r="R11" s="16" t="s">
        <v>270</v>
      </c>
      <c r="S11"/>
    </row>
    <row r="12" spans="1:21" s="10" customFormat="1" x14ac:dyDescent="0.25">
      <c r="A12" s="11">
        <v>10</v>
      </c>
      <c r="B12" s="33" t="s">
        <v>101</v>
      </c>
      <c r="C12" s="13" t="s">
        <v>119</v>
      </c>
      <c r="D12" s="13" t="s">
        <v>120</v>
      </c>
      <c r="E12" s="53" t="s">
        <v>121</v>
      </c>
      <c r="F12" s="14" t="s">
        <v>122</v>
      </c>
      <c r="G12" s="13" t="s">
        <v>104</v>
      </c>
      <c r="H12" s="19" t="s">
        <v>123</v>
      </c>
      <c r="I12" s="19" t="s">
        <v>124</v>
      </c>
      <c r="J12" s="15">
        <v>45804</v>
      </c>
      <c r="K12" s="13" t="s">
        <v>53</v>
      </c>
      <c r="L12" s="16" t="s">
        <v>11</v>
      </c>
      <c r="M12" s="17">
        <v>169528</v>
      </c>
      <c r="N12" s="18">
        <v>45805</v>
      </c>
      <c r="O12" s="19" t="s">
        <v>125</v>
      </c>
      <c r="P12" s="19" t="s">
        <v>126</v>
      </c>
      <c r="Q12" s="19" t="s">
        <v>140</v>
      </c>
      <c r="R12" s="16" t="s">
        <v>270</v>
      </c>
      <c r="S12"/>
    </row>
    <row r="13" spans="1:21" s="10" customFormat="1" x14ac:dyDescent="0.25">
      <c r="A13" s="11">
        <v>11</v>
      </c>
      <c r="B13" s="12" t="s">
        <v>21</v>
      </c>
      <c r="C13" s="31" t="s">
        <v>20</v>
      </c>
      <c r="D13" s="31" t="s">
        <v>22</v>
      </c>
      <c r="E13" s="21" t="s">
        <v>18</v>
      </c>
      <c r="F13" s="14" t="s">
        <v>127</v>
      </c>
      <c r="G13" s="31" t="s">
        <v>23</v>
      </c>
      <c r="H13" s="13" t="s">
        <v>128</v>
      </c>
      <c r="I13" s="13" t="s">
        <v>112</v>
      </c>
      <c r="J13" s="15">
        <v>45796</v>
      </c>
      <c r="K13" s="13" t="s">
        <v>53</v>
      </c>
      <c r="L13" s="16" t="s">
        <v>11</v>
      </c>
      <c r="M13" s="17">
        <v>193308</v>
      </c>
      <c r="N13" s="18">
        <v>45805</v>
      </c>
      <c r="O13" s="19" t="s">
        <v>129</v>
      </c>
      <c r="P13" s="19" t="s">
        <v>130</v>
      </c>
      <c r="Q13" s="19" t="s">
        <v>141</v>
      </c>
      <c r="R13" s="16" t="s">
        <v>270</v>
      </c>
      <c r="S13"/>
    </row>
    <row r="14" spans="1:21" x14ac:dyDescent="0.25">
      <c r="A14" s="11">
        <v>12</v>
      </c>
      <c r="B14" s="50" t="s">
        <v>131</v>
      </c>
      <c r="C14" s="13" t="s">
        <v>31</v>
      </c>
      <c r="D14" s="13" t="s">
        <v>29</v>
      </c>
      <c r="E14" s="21" t="s">
        <v>137</v>
      </c>
      <c r="F14" s="14" t="s">
        <v>132</v>
      </c>
      <c r="G14" s="13" t="s">
        <v>133</v>
      </c>
      <c r="H14" s="13" t="s">
        <v>134</v>
      </c>
      <c r="I14" s="13" t="s">
        <v>124</v>
      </c>
      <c r="J14" s="13"/>
      <c r="K14" s="13" t="s">
        <v>53</v>
      </c>
      <c r="L14" s="16" t="s">
        <v>11</v>
      </c>
      <c r="M14" s="17">
        <v>153155</v>
      </c>
      <c r="N14" s="18">
        <v>45806</v>
      </c>
      <c r="O14" s="19" t="s">
        <v>135</v>
      </c>
      <c r="P14" s="19" t="s">
        <v>136</v>
      </c>
      <c r="Q14" t="s">
        <v>142</v>
      </c>
      <c r="R14" s="16" t="s">
        <v>270</v>
      </c>
    </row>
    <row r="15" spans="1:21" s="10" customFormat="1" x14ac:dyDescent="0.25">
      <c r="A15" s="11">
        <v>13</v>
      </c>
      <c r="B15" s="12" t="s">
        <v>143</v>
      </c>
      <c r="C15" s="13" t="s">
        <v>31</v>
      </c>
      <c r="D15" s="13" t="s">
        <v>144</v>
      </c>
      <c r="E15" s="53" t="s">
        <v>145</v>
      </c>
      <c r="F15" s="14" t="s">
        <v>146</v>
      </c>
      <c r="G15" s="13" t="s">
        <v>147</v>
      </c>
      <c r="H15" s="13" t="s">
        <v>148</v>
      </c>
      <c r="I15" s="13" t="s">
        <v>69</v>
      </c>
      <c r="J15" s="15">
        <v>45786</v>
      </c>
      <c r="K15" s="13" t="s">
        <v>53</v>
      </c>
      <c r="L15" s="16" t="s">
        <v>11</v>
      </c>
      <c r="M15" s="17">
        <v>3413732</v>
      </c>
      <c r="N15" s="18">
        <v>45806</v>
      </c>
      <c r="O15" s="19" t="s">
        <v>149</v>
      </c>
      <c r="P15" s="19" t="s">
        <v>150</v>
      </c>
      <c r="Q15" s="19" t="s">
        <v>158</v>
      </c>
      <c r="R15" s="16" t="s">
        <v>270</v>
      </c>
      <c r="S15"/>
      <c r="T15"/>
      <c r="U15"/>
    </row>
    <row r="16" spans="1:21" s="10" customFormat="1" x14ac:dyDescent="0.25">
      <c r="A16" s="11">
        <v>14</v>
      </c>
      <c r="B16" s="33" t="s">
        <v>101</v>
      </c>
      <c r="C16" s="13" t="s">
        <v>151</v>
      </c>
      <c r="D16" s="13" t="s">
        <v>102</v>
      </c>
      <c r="E16" s="22" t="s">
        <v>19</v>
      </c>
      <c r="F16" s="14" t="s">
        <v>152</v>
      </c>
      <c r="G16" s="13" t="s">
        <v>153</v>
      </c>
      <c r="H16" s="13" t="s">
        <v>154</v>
      </c>
      <c r="I16" s="13" t="s">
        <v>155</v>
      </c>
      <c r="J16" s="15">
        <v>45791</v>
      </c>
      <c r="K16" s="13" t="s">
        <v>53</v>
      </c>
      <c r="L16" s="16" t="s">
        <v>11</v>
      </c>
      <c r="M16" s="17">
        <v>3357246</v>
      </c>
      <c r="N16" s="18">
        <v>45806</v>
      </c>
      <c r="O16" s="19" t="s">
        <v>156</v>
      </c>
      <c r="P16" s="19" t="s">
        <v>157</v>
      </c>
      <c r="Q16" s="19" t="s">
        <v>159</v>
      </c>
      <c r="R16" s="16" t="s">
        <v>270</v>
      </c>
      <c r="S16"/>
      <c r="T16"/>
      <c r="U16"/>
    </row>
    <row r="17" spans="1:22" s="10" customFormat="1" x14ac:dyDescent="0.25">
      <c r="A17" s="11">
        <v>15</v>
      </c>
      <c r="B17" s="12" t="s">
        <v>24</v>
      </c>
      <c r="C17" s="13" t="s">
        <v>174</v>
      </c>
      <c r="D17" s="13" t="s">
        <v>29</v>
      </c>
      <c r="E17" s="22" t="s">
        <v>19</v>
      </c>
      <c r="F17" s="14" t="s">
        <v>175</v>
      </c>
      <c r="G17" s="13" t="s">
        <v>26</v>
      </c>
      <c r="H17" s="13" t="s">
        <v>176</v>
      </c>
      <c r="I17" s="13" t="s">
        <v>177</v>
      </c>
      <c r="J17" s="15">
        <v>45736</v>
      </c>
      <c r="K17" s="13" t="s">
        <v>53</v>
      </c>
      <c r="L17" s="16" t="s">
        <v>11</v>
      </c>
      <c r="M17" s="43">
        <v>160931</v>
      </c>
      <c r="N17" s="18">
        <v>45807</v>
      </c>
      <c r="O17" s="19" t="s">
        <v>178</v>
      </c>
      <c r="P17" s="24" t="s">
        <v>179</v>
      </c>
      <c r="Q17" s="19" t="s">
        <v>196</v>
      </c>
      <c r="R17" s="16"/>
      <c r="S17"/>
    </row>
    <row r="18" spans="1:22" s="10" customFormat="1" x14ac:dyDescent="0.25">
      <c r="A18" s="11">
        <v>16</v>
      </c>
      <c r="B18" s="13" t="s">
        <v>34</v>
      </c>
      <c r="C18" s="13" t="s">
        <v>31</v>
      </c>
      <c r="D18" s="13" t="s">
        <v>56</v>
      </c>
      <c r="E18" s="21" t="s">
        <v>18</v>
      </c>
      <c r="F18" s="14" t="s">
        <v>191</v>
      </c>
      <c r="G18" s="13" t="s">
        <v>33</v>
      </c>
      <c r="H18" s="13" t="s">
        <v>192</v>
      </c>
      <c r="I18" s="13" t="s">
        <v>112</v>
      </c>
      <c r="J18" s="15">
        <v>45786</v>
      </c>
      <c r="K18" s="13" t="s">
        <v>53</v>
      </c>
      <c r="L18" s="16" t="s">
        <v>11</v>
      </c>
      <c r="M18" s="17">
        <v>189394</v>
      </c>
      <c r="N18" s="18">
        <v>45807</v>
      </c>
      <c r="O18" s="19" t="s">
        <v>193</v>
      </c>
      <c r="P18" s="24" t="s">
        <v>194</v>
      </c>
      <c r="Q18" s="19" t="s">
        <v>197</v>
      </c>
      <c r="R18" s="16" t="s">
        <v>270</v>
      </c>
      <c r="S18"/>
    </row>
    <row r="19" spans="1:22" x14ac:dyDescent="0.25">
      <c r="A19" s="11">
        <v>17</v>
      </c>
      <c r="B19" s="12" t="s">
        <v>198</v>
      </c>
      <c r="C19" s="13" t="s">
        <v>25</v>
      </c>
      <c r="D19" s="13" t="s">
        <v>109</v>
      </c>
      <c r="E19" s="22" t="s">
        <v>19</v>
      </c>
      <c r="F19" s="14" t="s">
        <v>199</v>
      </c>
      <c r="G19" s="13" t="s">
        <v>200</v>
      </c>
      <c r="H19" s="13" t="s">
        <v>201</v>
      </c>
      <c r="I19" s="13" t="s">
        <v>124</v>
      </c>
      <c r="J19" s="13"/>
      <c r="K19" s="13" t="s">
        <v>53</v>
      </c>
      <c r="L19" s="16" t="s">
        <v>11</v>
      </c>
      <c r="M19" s="17">
        <v>166357</v>
      </c>
      <c r="N19" s="18">
        <v>45807</v>
      </c>
      <c r="O19" s="19" t="s">
        <v>202</v>
      </c>
      <c r="P19" s="19" t="s">
        <v>203</v>
      </c>
      <c r="Q19" s="19" t="s">
        <v>204</v>
      </c>
      <c r="R19" s="16" t="s">
        <v>270</v>
      </c>
      <c r="T19" s="54"/>
    </row>
    <row r="20" spans="1:22" s="10" customFormat="1" x14ac:dyDescent="0.25">
      <c r="A20" s="11">
        <v>18</v>
      </c>
      <c r="B20" s="33" t="s">
        <v>101</v>
      </c>
      <c r="C20" s="12" t="s">
        <v>30</v>
      </c>
      <c r="D20" s="12" t="s">
        <v>220</v>
      </c>
      <c r="E20" s="22" t="s">
        <v>19</v>
      </c>
      <c r="F20" s="14" t="s">
        <v>221</v>
      </c>
      <c r="G20" s="13" t="s">
        <v>222</v>
      </c>
      <c r="H20" s="13" t="s">
        <v>223</v>
      </c>
      <c r="I20" s="13" t="s">
        <v>224</v>
      </c>
      <c r="J20" s="15">
        <v>45793</v>
      </c>
      <c r="K20" s="13" t="s">
        <v>53</v>
      </c>
      <c r="L20" s="16" t="s">
        <v>11</v>
      </c>
      <c r="M20" s="17">
        <v>192521</v>
      </c>
      <c r="N20" s="18">
        <v>45807</v>
      </c>
      <c r="O20" s="19" t="s">
        <v>225</v>
      </c>
      <c r="P20" s="19" t="s">
        <v>226</v>
      </c>
      <c r="Q20" s="19" t="s">
        <v>232</v>
      </c>
      <c r="R20" s="16" t="s">
        <v>270</v>
      </c>
      <c r="S20"/>
    </row>
    <row r="21" spans="1:22" x14ac:dyDescent="0.25">
      <c r="A21" s="11">
        <v>19</v>
      </c>
      <c r="B21" s="12" t="s">
        <v>27</v>
      </c>
      <c r="C21" s="13" t="s">
        <v>183</v>
      </c>
      <c r="D21" s="13" t="s">
        <v>184</v>
      </c>
      <c r="E21" s="21" t="s">
        <v>137</v>
      </c>
      <c r="F21" s="21" t="s">
        <v>227</v>
      </c>
      <c r="G21" s="13" t="s">
        <v>28</v>
      </c>
      <c r="H21" s="13" t="s">
        <v>228</v>
      </c>
      <c r="I21" s="12" t="s">
        <v>32</v>
      </c>
      <c r="J21" s="13"/>
      <c r="K21" s="13" t="s">
        <v>53</v>
      </c>
      <c r="L21" s="16" t="s">
        <v>11</v>
      </c>
      <c r="M21" s="17">
        <v>191244</v>
      </c>
      <c r="N21" s="18">
        <v>45807</v>
      </c>
      <c r="O21" s="19" t="s">
        <v>229</v>
      </c>
      <c r="P21" s="19" t="s">
        <v>230</v>
      </c>
      <c r="Q21" s="19" t="s">
        <v>231</v>
      </c>
      <c r="R21" s="13" t="s">
        <v>270</v>
      </c>
      <c r="T21" s="54"/>
    </row>
    <row r="22" spans="1:22" s="10" customFormat="1" x14ac:dyDescent="0.25">
      <c r="A22" s="11"/>
      <c r="B22" s="23"/>
      <c r="C22" s="13"/>
      <c r="D22" s="13"/>
      <c r="E22" s="21"/>
      <c r="F22" s="63" t="s">
        <v>48</v>
      </c>
      <c r="G22" s="63"/>
      <c r="H22" s="63"/>
      <c r="I22" s="63"/>
      <c r="J22" s="15"/>
      <c r="K22" s="13"/>
      <c r="L22" s="16"/>
      <c r="M22" s="21"/>
      <c r="N22" s="18"/>
      <c r="O22" s="19"/>
      <c r="P22" s="19"/>
      <c r="Q22" s="19"/>
      <c r="R22" s="25"/>
      <c r="S22"/>
      <c r="T22"/>
      <c r="U22"/>
    </row>
    <row r="23" spans="1:22" s="10" customFormat="1" x14ac:dyDescent="0.25">
      <c r="A23" s="26">
        <v>1</v>
      </c>
      <c r="B23" s="12" t="s">
        <v>24</v>
      </c>
      <c r="C23" s="13" t="s">
        <v>31</v>
      </c>
      <c r="D23" s="13" t="s">
        <v>29</v>
      </c>
      <c r="E23" s="21"/>
      <c r="F23" s="56" t="s">
        <v>98</v>
      </c>
      <c r="G23" s="57" t="s">
        <v>26</v>
      </c>
      <c r="H23" s="57" t="s">
        <v>233</v>
      </c>
      <c r="I23" s="13"/>
      <c r="J23" s="15"/>
      <c r="K23" s="16"/>
      <c r="L23" s="16"/>
      <c r="M23" s="41">
        <v>45798</v>
      </c>
      <c r="N23" s="60">
        <f>M23+90</f>
        <v>45888</v>
      </c>
      <c r="O23" s="34" t="s">
        <v>99</v>
      </c>
      <c r="P23" s="34" t="s">
        <v>100</v>
      </c>
      <c r="Q23" s="16"/>
      <c r="R23" s="16"/>
      <c r="S23"/>
      <c r="T23"/>
      <c r="U23"/>
    </row>
    <row r="24" spans="1:22" s="10" customFormat="1" x14ac:dyDescent="0.25">
      <c r="A24" s="26">
        <v>2</v>
      </c>
      <c r="B24" s="12" t="s">
        <v>21</v>
      </c>
      <c r="C24" s="13" t="s">
        <v>183</v>
      </c>
      <c r="D24" s="13" t="s">
        <v>184</v>
      </c>
      <c r="E24" s="21"/>
      <c r="F24" s="14" t="s">
        <v>180</v>
      </c>
      <c r="G24" s="13" t="s">
        <v>23</v>
      </c>
      <c r="H24" s="13"/>
      <c r="I24" s="13"/>
      <c r="J24" s="15"/>
      <c r="K24" s="16"/>
      <c r="L24" s="16"/>
      <c r="M24" s="41">
        <v>45806</v>
      </c>
      <c r="N24" s="60">
        <f>M24+180</f>
        <v>45986</v>
      </c>
      <c r="O24" s="13" t="s">
        <v>185</v>
      </c>
      <c r="P24" s="13" t="s">
        <v>188</v>
      </c>
      <c r="Q24" s="16"/>
      <c r="R24" s="16"/>
      <c r="S24"/>
      <c r="T24"/>
      <c r="U24"/>
    </row>
    <row r="25" spans="1:22" s="10" customFormat="1" x14ac:dyDescent="0.25">
      <c r="A25" s="26">
        <v>3</v>
      </c>
      <c r="B25" s="12" t="s">
        <v>34</v>
      </c>
      <c r="C25" s="13" t="s">
        <v>30</v>
      </c>
      <c r="D25" s="13" t="s">
        <v>109</v>
      </c>
      <c r="E25" s="21"/>
      <c r="F25" s="14" t="s">
        <v>181</v>
      </c>
      <c r="G25" s="13" t="s">
        <v>33</v>
      </c>
      <c r="H25" s="13"/>
      <c r="I25" s="13"/>
      <c r="J25" s="15"/>
      <c r="K25" s="16"/>
      <c r="L25" s="16"/>
      <c r="M25" s="41">
        <v>45803</v>
      </c>
      <c r="N25" s="60">
        <f t="shared" ref="N25:N26" si="0">M25+90</f>
        <v>45893</v>
      </c>
      <c r="O25" s="13" t="s">
        <v>186</v>
      </c>
      <c r="P25" s="13" t="s">
        <v>189</v>
      </c>
      <c r="Q25" s="16"/>
      <c r="R25" s="16"/>
      <c r="S25"/>
      <c r="T25"/>
      <c r="U25"/>
    </row>
    <row r="26" spans="1:22" s="10" customFormat="1" x14ac:dyDescent="0.25">
      <c r="A26" s="26">
        <v>4</v>
      </c>
      <c r="B26" s="33" t="s">
        <v>101</v>
      </c>
      <c r="C26" s="13" t="s">
        <v>160</v>
      </c>
      <c r="D26" s="13" t="s">
        <v>102</v>
      </c>
      <c r="E26" s="21"/>
      <c r="F26" s="14" t="s">
        <v>182</v>
      </c>
      <c r="G26" s="13" t="s">
        <v>169</v>
      </c>
      <c r="H26" s="13"/>
      <c r="I26" s="13"/>
      <c r="J26" s="23"/>
      <c r="K26" s="16"/>
      <c r="L26" s="13"/>
      <c r="M26" s="41">
        <v>45803</v>
      </c>
      <c r="N26" s="60">
        <f t="shared" si="0"/>
        <v>45893</v>
      </c>
      <c r="O26" s="13" t="s">
        <v>187</v>
      </c>
      <c r="P26" s="13" t="s">
        <v>190</v>
      </c>
      <c r="Q26" s="16"/>
      <c r="R26" s="16"/>
      <c r="S26"/>
      <c r="T26"/>
      <c r="U26"/>
    </row>
    <row r="27" spans="1:22" s="10" customFormat="1" x14ac:dyDescent="0.25">
      <c r="A27" s="26"/>
      <c r="B27" s="12"/>
      <c r="C27" s="13"/>
      <c r="D27" s="13"/>
      <c r="E27" s="21"/>
      <c r="F27" s="14"/>
      <c r="G27" s="13"/>
      <c r="H27" s="13"/>
      <c r="I27" s="13"/>
      <c r="J27" s="23"/>
      <c r="K27" s="16"/>
      <c r="L27" s="13"/>
      <c r="M27" s="32"/>
      <c r="N27" s="21"/>
      <c r="O27" s="29"/>
      <c r="P27" s="24"/>
      <c r="Q27" s="19"/>
      <c r="R27" s="25"/>
      <c r="S27"/>
      <c r="T27"/>
      <c r="U27"/>
    </row>
    <row r="28" spans="1:22" x14ac:dyDescent="0.25">
      <c r="A28" s="11"/>
      <c r="B28" s="12"/>
      <c r="C28" s="13"/>
      <c r="D28" s="13"/>
      <c r="E28" s="27"/>
      <c r="F28" s="64" t="s">
        <v>49</v>
      </c>
      <c r="G28" s="65"/>
      <c r="H28" s="65"/>
      <c r="I28" s="66"/>
      <c r="J28" s="15"/>
      <c r="K28" s="12"/>
      <c r="L28" s="16"/>
      <c r="M28" s="28"/>
      <c r="N28" s="18"/>
      <c r="O28" s="19"/>
      <c r="P28" s="19"/>
      <c r="Q28" s="13"/>
      <c r="R28" s="13"/>
      <c r="V28" s="10"/>
    </row>
    <row r="29" spans="1:22" s="10" customFormat="1" x14ac:dyDescent="0.25">
      <c r="A29" s="26">
        <v>1</v>
      </c>
      <c r="B29" s="33" t="s">
        <v>101</v>
      </c>
      <c r="C29" s="13" t="s">
        <v>160</v>
      </c>
      <c r="D29" s="20" t="s">
        <v>120</v>
      </c>
      <c r="E29" s="22" t="s">
        <v>19</v>
      </c>
      <c r="F29" s="14" t="s">
        <v>161</v>
      </c>
      <c r="G29" s="20" t="s">
        <v>162</v>
      </c>
      <c r="H29" s="13" t="s">
        <v>163</v>
      </c>
      <c r="I29" s="13" t="s">
        <v>164</v>
      </c>
      <c r="J29" s="13" t="s">
        <v>53</v>
      </c>
      <c r="K29" s="51"/>
      <c r="L29" s="13" t="s">
        <v>165</v>
      </c>
      <c r="M29" s="32">
        <v>45721</v>
      </c>
      <c r="N29" s="21"/>
      <c r="O29" s="29" t="s">
        <v>166</v>
      </c>
      <c r="P29" s="19" t="s">
        <v>167</v>
      </c>
      <c r="Q29" s="16"/>
      <c r="R29" s="42"/>
      <c r="S29"/>
      <c r="T29"/>
      <c r="U29"/>
    </row>
    <row r="30" spans="1:22" x14ac:dyDescent="0.25">
      <c r="A30" s="26"/>
      <c r="B30" s="25"/>
      <c r="C30" s="38"/>
      <c r="D30" s="12"/>
      <c r="E30" s="27"/>
      <c r="F30" s="14"/>
      <c r="G30" s="13"/>
      <c r="H30" s="12"/>
      <c r="I30" s="12"/>
      <c r="J30" s="13"/>
      <c r="K30" s="13"/>
      <c r="L30" s="35"/>
      <c r="M30" s="36"/>
      <c r="N30" s="21"/>
      <c r="O30" s="29"/>
      <c r="P30" s="29"/>
      <c r="Q30" s="37"/>
      <c r="R30" s="13"/>
    </row>
    <row r="31" spans="1:22" x14ac:dyDescent="0.25">
      <c r="A31" s="26"/>
      <c r="B31" s="25"/>
      <c r="C31" s="34"/>
      <c r="D31" s="13"/>
      <c r="E31" s="27"/>
      <c r="F31" s="14"/>
      <c r="G31" s="13"/>
      <c r="H31" s="13"/>
      <c r="I31" s="13"/>
      <c r="J31" s="41"/>
      <c r="K31" s="13"/>
      <c r="L31" s="35"/>
      <c r="M31" s="36"/>
      <c r="N31" s="21"/>
      <c r="O31" s="29"/>
      <c r="P31" s="29"/>
      <c r="Q31" s="42"/>
      <c r="R31" s="13"/>
      <c r="S31" s="10"/>
      <c r="T31" s="10"/>
      <c r="U31" s="10"/>
    </row>
    <row r="32" spans="1:22" x14ac:dyDescent="0.25">
      <c r="A32" s="26"/>
      <c r="B32" s="30"/>
      <c r="C32" s="20"/>
      <c r="D32" s="20"/>
      <c r="E32" s="21"/>
      <c r="F32" s="40"/>
      <c r="G32" s="20"/>
      <c r="H32" s="13"/>
      <c r="I32" s="13"/>
      <c r="J32" s="13"/>
      <c r="K32" s="13"/>
      <c r="L32" s="20"/>
      <c r="M32" s="39"/>
      <c r="N32" s="21"/>
      <c r="O32" s="29"/>
      <c r="P32" s="29"/>
      <c r="Q32" s="13"/>
      <c r="R32" s="13"/>
      <c r="S32" s="10"/>
      <c r="T32" s="10"/>
      <c r="U32" s="10"/>
    </row>
    <row r="33" spans="1:21" x14ac:dyDescent="0.25">
      <c r="F33" s="64" t="s">
        <v>268</v>
      </c>
      <c r="G33" s="65"/>
      <c r="H33" s="65"/>
      <c r="I33" s="66"/>
      <c r="J33" s="59"/>
      <c r="S33" s="10"/>
      <c r="T33" s="10"/>
      <c r="U33" s="10"/>
    </row>
    <row r="34" spans="1:21" x14ac:dyDescent="0.25">
      <c r="A34" s="11">
        <v>1</v>
      </c>
      <c r="B34" s="12" t="s">
        <v>21</v>
      </c>
      <c r="C34" s="13" t="s">
        <v>20</v>
      </c>
      <c r="D34" s="13" t="s">
        <v>22</v>
      </c>
      <c r="E34" s="21" t="s">
        <v>18</v>
      </c>
      <c r="F34" s="14" t="s">
        <v>92</v>
      </c>
      <c r="G34" s="13" t="s">
        <v>23</v>
      </c>
      <c r="H34" s="12" t="s">
        <v>93</v>
      </c>
      <c r="I34" s="12" t="s">
        <v>94</v>
      </c>
      <c r="J34" s="15">
        <v>45771</v>
      </c>
      <c r="K34" s="13" t="s">
        <v>53</v>
      </c>
      <c r="L34" s="16" t="s">
        <v>11</v>
      </c>
      <c r="M34" s="43">
        <v>175771</v>
      </c>
      <c r="N34" s="18">
        <v>45800</v>
      </c>
      <c r="O34" s="19" t="s">
        <v>95</v>
      </c>
      <c r="P34" s="19" t="s">
        <v>96</v>
      </c>
      <c r="Q34" s="19" t="s">
        <v>97</v>
      </c>
      <c r="R34" s="13"/>
    </row>
    <row r="35" spans="1:21" s="10" customFormat="1" x14ac:dyDescent="0.25">
      <c r="A35" s="11">
        <v>2</v>
      </c>
      <c r="B35" s="33" t="s">
        <v>101</v>
      </c>
      <c r="C35" s="13" t="s">
        <v>31</v>
      </c>
      <c r="D35" s="13" t="s">
        <v>102</v>
      </c>
      <c r="E35" s="21" t="s">
        <v>18</v>
      </c>
      <c r="F35" s="14" t="s">
        <v>168</v>
      </c>
      <c r="G35" s="13" t="s">
        <v>169</v>
      </c>
      <c r="H35" s="13" t="s">
        <v>170</v>
      </c>
      <c r="I35" s="13" t="s">
        <v>171</v>
      </c>
      <c r="J35" s="15">
        <v>45799</v>
      </c>
      <c r="K35" s="13" t="s">
        <v>53</v>
      </c>
      <c r="L35" s="16"/>
      <c r="M35" s="17">
        <v>198035</v>
      </c>
      <c r="N35" s="18">
        <v>45806</v>
      </c>
      <c r="O35" s="19" t="s">
        <v>172</v>
      </c>
      <c r="P35" s="19" t="s">
        <v>173</v>
      </c>
      <c r="Q35" s="19" t="s">
        <v>195</v>
      </c>
      <c r="R35" s="16"/>
      <c r="S35"/>
    </row>
    <row r="36" spans="1:21" s="10" customFormat="1" x14ac:dyDescent="0.25">
      <c r="A36" s="11">
        <v>3</v>
      </c>
      <c r="B36" s="12" t="s">
        <v>24</v>
      </c>
      <c r="C36" s="13" t="s">
        <v>25</v>
      </c>
      <c r="D36" s="13" t="s">
        <v>205</v>
      </c>
      <c r="E36" s="21" t="s">
        <v>18</v>
      </c>
      <c r="F36" s="14" t="s">
        <v>206</v>
      </c>
      <c r="G36" s="13" t="s">
        <v>26</v>
      </c>
      <c r="H36" s="19" t="s">
        <v>207</v>
      </c>
      <c r="I36" s="13" t="s">
        <v>112</v>
      </c>
      <c r="J36" s="15">
        <v>45807</v>
      </c>
      <c r="K36" s="13" t="s">
        <v>53</v>
      </c>
      <c r="L36" s="16" t="s">
        <v>11</v>
      </c>
      <c r="M36" s="17">
        <v>2686327</v>
      </c>
      <c r="N36" s="18">
        <v>45807</v>
      </c>
      <c r="O36" s="19" t="s">
        <v>208</v>
      </c>
      <c r="P36" s="19" t="s">
        <v>209</v>
      </c>
      <c r="Q36" s="55" t="s">
        <v>218</v>
      </c>
      <c r="R36" s="16"/>
      <c r="S36"/>
    </row>
    <row r="37" spans="1:21" x14ac:dyDescent="0.25">
      <c r="A37" s="11">
        <v>4</v>
      </c>
      <c r="B37" s="12" t="s">
        <v>210</v>
      </c>
      <c r="C37" s="13" t="s">
        <v>211</v>
      </c>
      <c r="D37" s="13" t="s">
        <v>212</v>
      </c>
      <c r="E37" s="21" t="s">
        <v>18</v>
      </c>
      <c r="F37" s="14" t="s">
        <v>213</v>
      </c>
      <c r="G37" s="13" t="s">
        <v>214</v>
      </c>
      <c r="H37" s="13" t="s">
        <v>215</v>
      </c>
      <c r="I37" s="12" t="s">
        <v>124</v>
      </c>
      <c r="J37" s="13"/>
      <c r="K37" s="13" t="s">
        <v>53</v>
      </c>
      <c r="L37" s="13" t="s">
        <v>11</v>
      </c>
      <c r="M37" s="13"/>
      <c r="N37" s="18">
        <v>45807</v>
      </c>
      <c r="O37" s="19" t="s">
        <v>216</v>
      </c>
      <c r="P37" s="19" t="s">
        <v>217</v>
      </c>
      <c r="Q37" s="19" t="s">
        <v>219</v>
      </c>
      <c r="R37" s="13"/>
      <c r="T37" s="54"/>
    </row>
    <row r="38" spans="1:21" s="10" customFormat="1" x14ac:dyDescent="0.25">
      <c r="A38" s="11">
        <v>5</v>
      </c>
      <c r="B38" s="12" t="s">
        <v>27</v>
      </c>
      <c r="C38" s="13" t="s">
        <v>20</v>
      </c>
      <c r="D38" s="13" t="s">
        <v>22</v>
      </c>
      <c r="E38" s="21" t="s">
        <v>18</v>
      </c>
      <c r="F38" s="14" t="s">
        <v>234</v>
      </c>
      <c r="G38" s="13" t="s">
        <v>28</v>
      </c>
      <c r="H38" s="19" t="s">
        <v>235</v>
      </c>
      <c r="I38" s="13" t="s">
        <v>236</v>
      </c>
      <c r="J38" s="15">
        <v>45807</v>
      </c>
      <c r="K38" s="13" t="s">
        <v>53</v>
      </c>
      <c r="L38" s="16" t="s">
        <v>11</v>
      </c>
      <c r="M38" s="17">
        <v>201447</v>
      </c>
      <c r="N38" s="18">
        <v>45808</v>
      </c>
      <c r="O38" s="19" t="s">
        <v>237</v>
      </c>
      <c r="P38" s="19" t="s">
        <v>238</v>
      </c>
      <c r="Q38" s="19" t="s">
        <v>245</v>
      </c>
      <c r="R38" s="16"/>
      <c r="S38"/>
    </row>
    <row r="39" spans="1:21" s="10" customFormat="1" x14ac:dyDescent="0.25">
      <c r="A39" s="11">
        <v>6</v>
      </c>
      <c r="B39" s="13" t="s">
        <v>34</v>
      </c>
      <c r="C39" s="13" t="s">
        <v>25</v>
      </c>
      <c r="D39" s="13" t="s">
        <v>56</v>
      </c>
      <c r="E39" s="21" t="s">
        <v>18</v>
      </c>
      <c r="F39" s="14" t="s">
        <v>252</v>
      </c>
      <c r="G39" s="13" t="s">
        <v>33</v>
      </c>
      <c r="H39" s="13" t="s">
        <v>253</v>
      </c>
      <c r="I39" s="13" t="s">
        <v>94</v>
      </c>
      <c r="J39" s="15">
        <v>45800</v>
      </c>
      <c r="K39" s="13" t="s">
        <v>53</v>
      </c>
      <c r="L39" s="16"/>
      <c r="M39" s="17">
        <v>193955</v>
      </c>
      <c r="N39" s="18">
        <v>45808</v>
      </c>
      <c r="O39" s="19" t="s">
        <v>254</v>
      </c>
      <c r="P39" s="19" t="s">
        <v>255</v>
      </c>
      <c r="Q39" s="19" t="s">
        <v>256</v>
      </c>
      <c r="R39" s="16"/>
      <c r="S39"/>
    </row>
    <row r="40" spans="1:21" x14ac:dyDescent="0.25">
      <c r="A40" s="11">
        <v>7</v>
      </c>
      <c r="B40" s="33" t="s">
        <v>101</v>
      </c>
      <c r="C40" s="13" t="s">
        <v>160</v>
      </c>
      <c r="D40" s="13" t="s">
        <v>220</v>
      </c>
      <c r="E40" s="21" t="s">
        <v>137</v>
      </c>
      <c r="F40" s="21" t="s">
        <v>257</v>
      </c>
      <c r="G40" s="13" t="s">
        <v>258</v>
      </c>
      <c r="H40" s="13" t="s">
        <v>259</v>
      </c>
      <c r="I40" s="12" t="s">
        <v>260</v>
      </c>
      <c r="J40" s="15">
        <v>45806</v>
      </c>
      <c r="K40" s="13" t="s">
        <v>53</v>
      </c>
      <c r="L40" s="16" t="s">
        <v>11</v>
      </c>
      <c r="M40" s="17">
        <v>198446</v>
      </c>
      <c r="N40" s="18">
        <v>45808</v>
      </c>
      <c r="O40" s="19" t="s">
        <v>261</v>
      </c>
      <c r="P40" s="19" t="s">
        <v>262</v>
      </c>
      <c r="Q40" s="13"/>
      <c r="R40" s="13"/>
      <c r="T40" s="54"/>
    </row>
    <row r="41" spans="1:21" s="10" customFormat="1" x14ac:dyDescent="0.25">
      <c r="A41" s="11">
        <v>8</v>
      </c>
      <c r="B41" s="12" t="s">
        <v>21</v>
      </c>
      <c r="C41" s="13" t="s">
        <v>183</v>
      </c>
      <c r="D41" s="13" t="s">
        <v>184</v>
      </c>
      <c r="E41" s="21" t="s">
        <v>18</v>
      </c>
      <c r="F41" s="14" t="s">
        <v>239</v>
      </c>
      <c r="G41" s="13" t="s">
        <v>240</v>
      </c>
      <c r="H41" s="19" t="s">
        <v>241</v>
      </c>
      <c r="I41" s="19" t="s">
        <v>242</v>
      </c>
      <c r="J41" s="15">
        <v>45803</v>
      </c>
      <c r="K41" s="13" t="s">
        <v>53</v>
      </c>
      <c r="L41" s="16" t="s">
        <v>11</v>
      </c>
      <c r="M41" s="17">
        <v>200283</v>
      </c>
      <c r="N41" s="18">
        <v>45808</v>
      </c>
      <c r="O41" s="19" t="s">
        <v>243</v>
      </c>
      <c r="P41" s="19" t="s">
        <v>244</v>
      </c>
      <c r="Q41" s="19" t="s">
        <v>246</v>
      </c>
      <c r="R41" s="16"/>
      <c r="S41"/>
    </row>
    <row r="42" spans="1:21" s="10" customFormat="1" x14ac:dyDescent="0.25">
      <c r="A42" s="11">
        <v>9</v>
      </c>
      <c r="B42" s="12" t="s">
        <v>21</v>
      </c>
      <c r="C42" s="13" t="s">
        <v>20</v>
      </c>
      <c r="D42" s="13" t="s">
        <v>22</v>
      </c>
      <c r="E42" s="58" t="s">
        <v>145</v>
      </c>
      <c r="F42" s="14" t="s">
        <v>247</v>
      </c>
      <c r="G42" s="13" t="s">
        <v>23</v>
      </c>
      <c r="H42" s="13" t="s">
        <v>248</v>
      </c>
      <c r="I42" s="13" t="s">
        <v>242</v>
      </c>
      <c r="J42" s="15">
        <v>45797</v>
      </c>
      <c r="K42" s="13" t="s">
        <v>53</v>
      </c>
      <c r="L42" s="16" t="s">
        <v>11</v>
      </c>
      <c r="M42" s="17">
        <v>3255470</v>
      </c>
      <c r="N42" s="18">
        <v>45808</v>
      </c>
      <c r="O42" s="19" t="s">
        <v>249</v>
      </c>
      <c r="P42" s="19" t="s">
        <v>250</v>
      </c>
      <c r="Q42" s="19" t="s">
        <v>251</v>
      </c>
      <c r="R42" s="16"/>
      <c r="S42"/>
    </row>
    <row r="43" spans="1:21" x14ac:dyDescent="0.25">
      <c r="A43" s="11">
        <v>10</v>
      </c>
      <c r="B43" s="33" t="s">
        <v>101</v>
      </c>
      <c r="C43" s="13" t="s">
        <v>30</v>
      </c>
      <c r="D43" s="13" t="s">
        <v>102</v>
      </c>
      <c r="E43" s="21" t="s">
        <v>137</v>
      </c>
      <c r="F43" s="14" t="s">
        <v>263</v>
      </c>
      <c r="G43" s="13" t="s">
        <v>169</v>
      </c>
      <c r="H43" s="19" t="s">
        <v>264</v>
      </c>
      <c r="I43" s="19" t="s">
        <v>52</v>
      </c>
      <c r="J43" s="15">
        <v>45805</v>
      </c>
      <c r="K43" s="13" t="s">
        <v>53</v>
      </c>
      <c r="L43" s="16" t="s">
        <v>11</v>
      </c>
      <c r="M43" s="17">
        <v>200513</v>
      </c>
      <c r="N43" s="18">
        <v>45808</v>
      </c>
      <c r="O43" s="19" t="s">
        <v>265</v>
      </c>
      <c r="P43" s="19" t="s">
        <v>266</v>
      </c>
      <c r="Q43" s="19" t="s">
        <v>269</v>
      </c>
      <c r="R43" s="13"/>
      <c r="T43" s="54"/>
    </row>
  </sheetData>
  <autoFilter ref="A2:AI30" xr:uid="{275D3314-CFEC-4178-89A2-6E7C598D8A82}"/>
  <mergeCells count="4">
    <mergeCell ref="F1:I1"/>
    <mergeCell ref="F22:I22"/>
    <mergeCell ref="F28:I28"/>
    <mergeCell ref="F33:I33"/>
  </mergeCells>
  <conditionalFormatting sqref="F3">
    <cfRule type="duplicateValues" dxfId="190" priority="223"/>
    <cfRule type="duplicateValues" dxfId="189" priority="223"/>
  </conditionalFormatting>
  <conditionalFormatting sqref="F4">
    <cfRule type="duplicateValues" dxfId="188" priority="221"/>
    <cfRule type="duplicateValues" dxfId="187" priority="221"/>
  </conditionalFormatting>
  <conditionalFormatting sqref="F5">
    <cfRule type="duplicateValues" dxfId="186" priority="219"/>
    <cfRule type="duplicateValues" dxfId="185" priority="219"/>
  </conditionalFormatting>
  <conditionalFormatting sqref="F6">
    <cfRule type="duplicateValues" dxfId="184" priority="217"/>
    <cfRule type="duplicateValues" dxfId="183" priority="217"/>
  </conditionalFormatting>
  <conditionalFormatting sqref="F7">
    <cfRule type="duplicateValues" dxfId="182" priority="215"/>
    <cfRule type="duplicateValues" dxfId="181" priority="215"/>
  </conditionalFormatting>
  <conditionalFormatting sqref="F8">
    <cfRule type="duplicateValues" dxfId="180" priority="213"/>
    <cfRule type="duplicateValues" dxfId="179" priority="213"/>
  </conditionalFormatting>
  <conditionalFormatting sqref="F9">
    <cfRule type="duplicateValues" dxfId="178" priority="176"/>
    <cfRule type="duplicateValues" dxfId="177" priority="177"/>
  </conditionalFormatting>
  <conditionalFormatting sqref="F10">
    <cfRule type="duplicateValues" dxfId="176" priority="169"/>
    <cfRule type="duplicateValues" dxfId="175" priority="170"/>
  </conditionalFormatting>
  <conditionalFormatting sqref="F11">
    <cfRule type="duplicateValues" dxfId="174" priority="165"/>
    <cfRule type="duplicateValues" dxfId="173" priority="166"/>
  </conditionalFormatting>
  <conditionalFormatting sqref="F12">
    <cfRule type="duplicateValues" dxfId="172" priority="162"/>
    <cfRule type="duplicateValues" dxfId="171" priority="161"/>
  </conditionalFormatting>
  <conditionalFormatting sqref="F13">
    <cfRule type="duplicateValues" dxfId="170" priority="158"/>
    <cfRule type="duplicateValues" dxfId="169" priority="157"/>
  </conditionalFormatting>
  <conditionalFormatting sqref="F14">
    <cfRule type="duplicateValues" dxfId="168" priority="156"/>
    <cfRule type="duplicateValues" dxfId="167" priority="155"/>
  </conditionalFormatting>
  <conditionalFormatting sqref="F15">
    <cfRule type="duplicateValues" dxfId="166" priority="137"/>
    <cfRule type="duplicateValues" dxfId="165" priority="138"/>
  </conditionalFormatting>
  <conditionalFormatting sqref="F16">
    <cfRule type="duplicateValues" dxfId="164" priority="133"/>
    <cfRule type="duplicateValues" dxfId="163" priority="134"/>
  </conditionalFormatting>
  <conditionalFormatting sqref="F17">
    <cfRule type="duplicateValues" dxfId="162" priority="121"/>
    <cfRule type="duplicateValues" dxfId="161" priority="122"/>
  </conditionalFormatting>
  <conditionalFormatting sqref="F18">
    <cfRule type="duplicateValues" dxfId="160" priority="118"/>
    <cfRule type="duplicateValues" dxfId="159" priority="117"/>
  </conditionalFormatting>
  <conditionalFormatting sqref="F19">
    <cfRule type="duplicateValues" dxfId="158" priority="110"/>
    <cfRule type="duplicateValues" dxfId="157" priority="109"/>
  </conditionalFormatting>
  <conditionalFormatting sqref="F20">
    <cfRule type="duplicateValues" dxfId="156" priority="95"/>
    <cfRule type="duplicateValues" dxfId="155" priority="96"/>
  </conditionalFormatting>
  <conditionalFormatting sqref="F21">
    <cfRule type="duplicateValues" dxfId="154" priority="94"/>
  </conditionalFormatting>
  <conditionalFormatting sqref="F23:F26">
    <cfRule type="duplicateValues" dxfId="153" priority="180"/>
    <cfRule type="duplicateValues" dxfId="152" priority="183"/>
  </conditionalFormatting>
  <conditionalFormatting sqref="F27">
    <cfRule type="duplicateValues" dxfId="151" priority="236"/>
    <cfRule type="duplicateValues" dxfId="150" priority="237"/>
  </conditionalFormatting>
  <conditionalFormatting sqref="F29">
    <cfRule type="duplicateValues" dxfId="149" priority="132"/>
    <cfRule type="duplicateValues" dxfId="148" priority="131"/>
  </conditionalFormatting>
  <conditionalFormatting sqref="F30">
    <cfRule type="duplicateValues" dxfId="147" priority="351"/>
    <cfRule type="duplicateValues" dxfId="146" priority="350"/>
  </conditionalFormatting>
  <conditionalFormatting sqref="F31">
    <cfRule type="duplicateValues" dxfId="145" priority="780"/>
    <cfRule type="duplicateValues" dxfId="144" priority="781"/>
  </conditionalFormatting>
  <conditionalFormatting sqref="F32">
    <cfRule type="duplicateValues" dxfId="143" priority="782"/>
  </conditionalFormatting>
  <conditionalFormatting sqref="F34">
    <cfRule type="duplicateValues" dxfId="142" priority="52"/>
    <cfRule type="duplicateValues" dxfId="141" priority="53"/>
  </conditionalFormatting>
  <conditionalFormatting sqref="F35">
    <cfRule type="duplicateValues" dxfId="140" priority="48"/>
    <cfRule type="duplicateValues" dxfId="139" priority="49"/>
  </conditionalFormatting>
  <conditionalFormatting sqref="F36:F37">
    <cfRule type="duplicateValues" dxfId="138" priority="41"/>
    <cfRule type="duplicateValues" dxfId="137" priority="42"/>
  </conditionalFormatting>
  <conditionalFormatting sqref="F38">
    <cfRule type="duplicateValues" dxfId="136" priority="37"/>
  </conditionalFormatting>
  <conditionalFormatting sqref="F39">
    <cfRule type="duplicateValues" dxfId="135" priority="14"/>
    <cfRule type="duplicateValues" dxfId="134" priority="13"/>
  </conditionalFormatting>
  <conditionalFormatting sqref="F40">
    <cfRule type="duplicateValues" dxfId="133" priority="9"/>
  </conditionalFormatting>
  <conditionalFormatting sqref="F41">
    <cfRule type="duplicateValues" dxfId="132" priority="31"/>
    <cfRule type="duplicateValues" dxfId="131" priority="30"/>
  </conditionalFormatting>
  <conditionalFormatting sqref="F42">
    <cfRule type="duplicateValues" dxfId="130" priority="20"/>
    <cfRule type="duplicateValues" dxfId="129" priority="21"/>
  </conditionalFormatting>
  <conditionalFormatting sqref="F43">
    <cfRule type="duplicateValues" dxfId="128" priority="7"/>
    <cfRule type="duplicateValues" dxfId="127" priority="8"/>
  </conditionalFormatting>
  <conditionalFormatting sqref="F44:F1048576 F2">
    <cfRule type="duplicateValues" dxfId="126" priority="807"/>
  </conditionalFormatting>
  <conditionalFormatting sqref="F44:F1048576 F22 F1:F2 F28 F31:F33">
    <cfRule type="duplicateValues" dxfId="125" priority="447"/>
  </conditionalFormatting>
  <conditionalFormatting sqref="F44:F1048576 F28 F1:F2 F22 F33">
    <cfRule type="duplicateValues" dxfId="124" priority="803"/>
  </conditionalFormatting>
  <conditionalFormatting sqref="O4">
    <cfRule type="duplicateValues" dxfId="123" priority="212"/>
    <cfRule type="duplicateValues" dxfId="122" priority="211"/>
  </conditionalFormatting>
  <conditionalFormatting sqref="O26">
    <cfRule type="duplicateValues" dxfId="121" priority="235"/>
    <cfRule type="duplicateValues" dxfId="120" priority="234"/>
  </conditionalFormatting>
  <conditionalFormatting sqref="O3:P3">
    <cfRule type="duplicateValues" dxfId="119" priority="224"/>
    <cfRule type="duplicateValues" dxfId="118" priority="821"/>
  </conditionalFormatting>
  <conditionalFormatting sqref="O5:P5">
    <cfRule type="duplicateValues" dxfId="117" priority="216"/>
    <cfRule type="duplicateValues" dxfId="116" priority="822"/>
  </conditionalFormatting>
  <conditionalFormatting sqref="O6:P6">
    <cfRule type="duplicateValues" dxfId="115" priority="209"/>
    <cfRule type="duplicateValues" dxfId="114" priority="210"/>
  </conditionalFormatting>
  <conditionalFormatting sqref="O7:P7">
    <cfRule type="duplicateValues" dxfId="113" priority="205"/>
    <cfRule type="duplicateValues" dxfId="112" priority="206"/>
  </conditionalFormatting>
  <conditionalFormatting sqref="O8:P8">
    <cfRule type="duplicateValues" dxfId="111" priority="201"/>
    <cfRule type="duplicateValues" dxfId="110" priority="202"/>
  </conditionalFormatting>
  <conditionalFormatting sqref="O9:P9">
    <cfRule type="duplicateValues" dxfId="109" priority="179"/>
    <cfRule type="duplicateValues" dxfId="108" priority="178"/>
  </conditionalFormatting>
  <conditionalFormatting sqref="O10:P10">
    <cfRule type="duplicateValues" dxfId="107" priority="172"/>
    <cfRule type="duplicateValues" dxfId="106" priority="171"/>
  </conditionalFormatting>
  <conditionalFormatting sqref="O11:P11">
    <cfRule type="duplicateValues" dxfId="105" priority="168"/>
    <cfRule type="duplicateValues" dxfId="104" priority="167"/>
  </conditionalFormatting>
  <conditionalFormatting sqref="O12:P12">
    <cfRule type="duplicateValues" dxfId="103" priority="163"/>
    <cfRule type="duplicateValues" dxfId="102" priority="164"/>
  </conditionalFormatting>
  <conditionalFormatting sqref="O13:P13">
    <cfRule type="duplicateValues" dxfId="101" priority="159"/>
    <cfRule type="duplicateValues" dxfId="100" priority="160"/>
  </conditionalFormatting>
  <conditionalFormatting sqref="O14:P14">
    <cfRule type="duplicateValues" dxfId="99" priority="154"/>
    <cfRule type="duplicateValues" dxfId="98" priority="153"/>
  </conditionalFormatting>
  <conditionalFormatting sqref="O15:P15">
    <cfRule type="duplicateValues" dxfId="97" priority="140"/>
    <cfRule type="duplicateValues" dxfId="96" priority="139"/>
  </conditionalFormatting>
  <conditionalFormatting sqref="O16:P16">
    <cfRule type="duplicateValues" dxfId="95" priority="135"/>
    <cfRule type="duplicateValues" dxfId="94" priority="136"/>
  </conditionalFormatting>
  <conditionalFormatting sqref="O17:P17">
    <cfRule type="duplicateValues" dxfId="93" priority="124"/>
    <cfRule type="duplicateValues" dxfId="92" priority="123"/>
  </conditionalFormatting>
  <conditionalFormatting sqref="O18:P18">
    <cfRule type="duplicateValues" dxfId="91" priority="119"/>
    <cfRule type="duplicateValues" dxfId="90" priority="120"/>
  </conditionalFormatting>
  <conditionalFormatting sqref="O19:P19">
    <cfRule type="duplicateValues" dxfId="89" priority="108"/>
    <cfRule type="duplicateValues" dxfId="88" priority="107"/>
  </conditionalFormatting>
  <conditionalFormatting sqref="O20:P21">
    <cfRule type="duplicateValues" dxfId="87" priority="92"/>
    <cfRule type="duplicateValues" dxfId="86" priority="93"/>
  </conditionalFormatting>
  <conditionalFormatting sqref="O22:P22">
    <cfRule type="duplicateValues" dxfId="85" priority="805"/>
    <cfRule type="duplicateValues" dxfId="84" priority="804"/>
  </conditionalFormatting>
  <conditionalFormatting sqref="O23:P25">
    <cfRule type="duplicateValues" dxfId="83" priority="182"/>
    <cfRule type="duplicateValues" dxfId="82" priority="181"/>
  </conditionalFormatting>
  <conditionalFormatting sqref="O28:P28">
    <cfRule type="duplicateValues" dxfId="81" priority="806"/>
  </conditionalFormatting>
  <conditionalFormatting sqref="O34:P34">
    <cfRule type="duplicateValues" dxfId="80" priority="55"/>
    <cfRule type="duplicateValues" dxfId="79" priority="54"/>
  </conditionalFormatting>
  <conditionalFormatting sqref="O35:P35">
    <cfRule type="duplicateValues" dxfId="78" priority="51"/>
    <cfRule type="duplicateValues" dxfId="77" priority="50"/>
  </conditionalFormatting>
  <conditionalFormatting sqref="O36:P37">
    <cfRule type="duplicateValues" dxfId="76" priority="44"/>
    <cfRule type="duplicateValues" dxfId="75" priority="43"/>
  </conditionalFormatting>
  <conditionalFormatting sqref="O38:P38">
    <cfRule type="duplicateValues" dxfId="74" priority="36"/>
    <cfRule type="duplicateValues" dxfId="73" priority="35"/>
  </conditionalFormatting>
  <conditionalFormatting sqref="O39:P39">
    <cfRule type="duplicateValues" dxfId="72" priority="16"/>
    <cfRule type="duplicateValues" dxfId="71" priority="15"/>
  </conditionalFormatting>
  <conditionalFormatting sqref="O41:P41">
    <cfRule type="duplicateValues" dxfId="70" priority="32"/>
    <cfRule type="duplicateValues" dxfId="69" priority="33"/>
  </conditionalFormatting>
  <conditionalFormatting sqref="O42:P42">
    <cfRule type="duplicateValues" dxfId="68" priority="22"/>
    <cfRule type="duplicateValues" dxfId="67" priority="23"/>
  </conditionalFormatting>
  <conditionalFormatting sqref="O43:P43 O40:P40">
    <cfRule type="duplicateValues" dxfId="66" priority="844"/>
    <cfRule type="duplicateValues" dxfId="65" priority="843"/>
  </conditionalFormatting>
  <conditionalFormatting sqref="P4">
    <cfRule type="duplicateValues" dxfId="64" priority="823"/>
    <cfRule type="duplicateValues" dxfId="63" priority="220"/>
  </conditionalFormatting>
  <conditionalFormatting sqref="P26:P27">
    <cfRule type="duplicateValues" dxfId="62" priority="816"/>
    <cfRule type="duplicateValues" dxfId="61" priority="817"/>
  </conditionalFormatting>
  <conditionalFormatting sqref="P29">
    <cfRule type="duplicateValues" dxfId="60" priority="129"/>
    <cfRule type="duplicateValues" dxfId="59" priority="130"/>
  </conditionalFormatting>
  <conditionalFormatting sqref="Q3">
    <cfRule type="duplicateValues" dxfId="58" priority="197"/>
    <cfRule type="duplicateValues" dxfId="57" priority="198"/>
    <cfRule type="duplicateValues" dxfId="56" priority="196"/>
  </conditionalFormatting>
  <conditionalFormatting sqref="Q5">
    <cfRule type="duplicateValues" dxfId="55" priority="195"/>
    <cfRule type="duplicateValues" dxfId="54" priority="194"/>
  </conditionalFormatting>
  <conditionalFormatting sqref="Q6">
    <cfRule type="duplicateValues" dxfId="53" priority="193"/>
    <cfRule type="duplicateValues" dxfId="52" priority="191"/>
    <cfRule type="duplicateValues" dxfId="51" priority="192"/>
  </conditionalFormatting>
  <conditionalFormatting sqref="Q7">
    <cfRule type="duplicateValues" dxfId="50" priority="188"/>
    <cfRule type="duplicateValues" dxfId="49" priority="189"/>
    <cfRule type="duplicateValues" dxfId="48" priority="190"/>
  </conditionalFormatting>
  <conditionalFormatting sqref="Q9">
    <cfRule type="duplicateValues" dxfId="47" priority="173"/>
    <cfRule type="duplicateValues" dxfId="46" priority="174"/>
    <cfRule type="duplicateValues" dxfId="45" priority="175"/>
  </conditionalFormatting>
  <conditionalFormatting sqref="Q10">
    <cfRule type="duplicateValues" dxfId="44" priority="150"/>
    <cfRule type="duplicateValues" dxfId="43" priority="152"/>
    <cfRule type="duplicateValues" dxfId="42" priority="151"/>
  </conditionalFormatting>
  <conditionalFormatting sqref="Q12">
    <cfRule type="duplicateValues" dxfId="41" priority="147"/>
    <cfRule type="duplicateValues" dxfId="40" priority="148"/>
    <cfRule type="duplicateValues" dxfId="39" priority="149"/>
  </conditionalFormatting>
  <conditionalFormatting sqref="Q13">
    <cfRule type="duplicateValues" dxfId="38" priority="144"/>
    <cfRule type="duplicateValues" dxfId="37" priority="145"/>
    <cfRule type="duplicateValues" dxfId="36" priority="146"/>
  </conditionalFormatting>
  <conditionalFormatting sqref="Q17">
    <cfRule type="duplicateValues" dxfId="35" priority="111"/>
    <cfRule type="duplicateValues" dxfId="34" priority="112"/>
    <cfRule type="duplicateValues" dxfId="33" priority="113"/>
  </conditionalFormatting>
  <conditionalFormatting sqref="Q19">
    <cfRule type="duplicateValues" dxfId="32" priority="104"/>
    <cfRule type="duplicateValues" dxfId="31" priority="106"/>
    <cfRule type="duplicateValues" dxfId="30" priority="105"/>
  </conditionalFormatting>
  <conditionalFormatting sqref="Q20">
    <cfRule type="duplicateValues" dxfId="29" priority="91"/>
    <cfRule type="duplicateValues" dxfId="28" priority="90"/>
    <cfRule type="duplicateValues" dxfId="27" priority="89"/>
  </conditionalFormatting>
  <conditionalFormatting sqref="Q22">
    <cfRule type="duplicateValues" dxfId="26" priority="801"/>
    <cfRule type="duplicateValues" dxfId="25" priority="802"/>
    <cfRule type="duplicateValues" dxfId="24" priority="800"/>
  </conditionalFormatting>
  <conditionalFormatting sqref="Q27">
    <cfRule type="duplicateValues" dxfId="23" priority="818"/>
    <cfRule type="duplicateValues" dxfId="22" priority="819"/>
    <cfRule type="duplicateValues" dxfId="21" priority="820"/>
  </conditionalFormatting>
  <conditionalFormatting sqref="Q35">
    <cfRule type="duplicateValues" dxfId="20" priority="47"/>
    <cfRule type="duplicateValues" dxfId="19" priority="46"/>
    <cfRule type="duplicateValues" dxfId="18" priority="45"/>
  </conditionalFormatting>
  <conditionalFormatting sqref="Q37">
    <cfRule type="duplicateValues" dxfId="17" priority="40"/>
    <cfRule type="duplicateValues" dxfId="16" priority="38"/>
    <cfRule type="duplicateValues" dxfId="15" priority="39"/>
  </conditionalFormatting>
  <conditionalFormatting sqref="Q38">
    <cfRule type="duplicateValues" dxfId="14" priority="27"/>
    <cfRule type="duplicateValues" dxfId="13" priority="28"/>
    <cfRule type="duplicateValues" dxfId="12" priority="29"/>
  </conditionalFormatting>
  <conditionalFormatting sqref="Q39">
    <cfRule type="duplicateValues" dxfId="11" priority="12"/>
    <cfRule type="duplicateValues" dxfId="10" priority="11"/>
    <cfRule type="duplicateValues" dxfId="9" priority="10"/>
  </conditionalFormatting>
  <conditionalFormatting sqref="Q41">
    <cfRule type="duplicateValues" dxfId="8" priority="24"/>
    <cfRule type="duplicateValues" dxfId="7" priority="25"/>
    <cfRule type="duplicateValues" dxfId="6" priority="26"/>
  </conditionalFormatting>
  <conditionalFormatting sqref="Q42">
    <cfRule type="duplicateValues" dxfId="5" priority="17"/>
    <cfRule type="duplicateValues" dxfId="4" priority="18"/>
    <cfRule type="duplicateValues" dxfId="3" priority="19"/>
  </conditionalFormatting>
  <conditionalFormatting sqref="Q43">
    <cfRule type="duplicateValues" dxfId="2" priority="1"/>
    <cfRule type="duplicateValues" dxfId="1" priority="3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0C99F-08BE-4535-8719-D0EA8ACF1DB7}">
  <dimension ref="B2:H9"/>
  <sheetViews>
    <sheetView workbookViewId="0">
      <selection activeCell="D6" sqref="D6"/>
    </sheetView>
  </sheetViews>
  <sheetFormatPr defaultRowHeight="15" x14ac:dyDescent="0.25"/>
  <cols>
    <col min="2" max="2" width="14.140625" bestFit="1" customWidth="1"/>
    <col min="5" max="5" width="19.42578125" bestFit="1" customWidth="1"/>
    <col min="7" max="7" width="20.85546875" bestFit="1" customWidth="1"/>
    <col min="8" max="8" width="17.28515625" bestFit="1" customWidth="1"/>
  </cols>
  <sheetData>
    <row r="2" spans="2:8" x14ac:dyDescent="0.25">
      <c r="B2" s="44" t="s">
        <v>35</v>
      </c>
      <c r="G2" s="1"/>
      <c r="H2" s="1"/>
    </row>
    <row r="3" spans="2:8" x14ac:dyDescent="0.25">
      <c r="B3" s="9" t="s">
        <v>36</v>
      </c>
      <c r="C3" s="9" t="s">
        <v>8</v>
      </c>
      <c r="D3" s="9" t="s">
        <v>37</v>
      </c>
      <c r="E3" s="9" t="s">
        <v>38</v>
      </c>
      <c r="F3" s="9" t="s">
        <v>39</v>
      </c>
      <c r="G3" s="9" t="s">
        <v>40</v>
      </c>
      <c r="H3" s="9" t="s">
        <v>41</v>
      </c>
    </row>
    <row r="4" spans="2:8" x14ac:dyDescent="0.25">
      <c r="B4" s="13" t="s">
        <v>42</v>
      </c>
      <c r="C4" s="21">
        <v>7</v>
      </c>
      <c r="D4" s="21">
        <v>6</v>
      </c>
      <c r="E4" s="21">
        <v>3</v>
      </c>
      <c r="F4" s="45">
        <f>E4/D4</f>
        <v>0.5</v>
      </c>
      <c r="G4" s="46">
        <f>C4*1.5</f>
        <v>10.5</v>
      </c>
      <c r="H4" s="21">
        <v>7</v>
      </c>
    </row>
    <row r="5" spans="2:8" x14ac:dyDescent="0.25">
      <c r="B5" s="13" t="s">
        <v>43</v>
      </c>
      <c r="C5" s="21">
        <v>6</v>
      </c>
      <c r="D5" s="21">
        <v>5</v>
      </c>
      <c r="E5" s="21">
        <v>3</v>
      </c>
      <c r="F5" s="45">
        <f t="shared" ref="F5:F9" si="0">E5/D5</f>
        <v>0.6</v>
      </c>
      <c r="G5" s="46">
        <f t="shared" ref="G5:G8" si="1">C5*1.5</f>
        <v>9</v>
      </c>
      <c r="H5" s="21">
        <v>6</v>
      </c>
    </row>
    <row r="6" spans="2:8" x14ac:dyDescent="0.25">
      <c r="B6" s="13" t="s">
        <v>44</v>
      </c>
      <c r="C6" s="21">
        <v>5</v>
      </c>
      <c r="D6" s="21">
        <v>5</v>
      </c>
      <c r="E6" s="21">
        <v>3</v>
      </c>
      <c r="F6" s="45">
        <f t="shared" si="0"/>
        <v>0.6</v>
      </c>
      <c r="G6" s="46">
        <f t="shared" si="1"/>
        <v>7.5</v>
      </c>
      <c r="H6" s="21">
        <v>6</v>
      </c>
    </row>
    <row r="7" spans="2:8" x14ac:dyDescent="0.25">
      <c r="B7" s="13" t="s">
        <v>45</v>
      </c>
      <c r="C7" s="21">
        <v>4</v>
      </c>
      <c r="D7" s="21">
        <v>5</v>
      </c>
      <c r="E7" s="21">
        <v>4</v>
      </c>
      <c r="F7" s="45">
        <f t="shared" si="0"/>
        <v>0.8</v>
      </c>
      <c r="G7" s="46">
        <f t="shared" si="1"/>
        <v>6</v>
      </c>
      <c r="H7" s="21">
        <v>5</v>
      </c>
    </row>
    <row r="8" spans="2:8" x14ac:dyDescent="0.25">
      <c r="B8" s="13" t="s">
        <v>46</v>
      </c>
      <c r="C8" s="21">
        <v>5</v>
      </c>
      <c r="D8" s="21">
        <v>5</v>
      </c>
      <c r="E8" s="21">
        <v>7</v>
      </c>
      <c r="F8" s="45">
        <f t="shared" si="0"/>
        <v>1.4</v>
      </c>
      <c r="G8" s="46">
        <f t="shared" si="1"/>
        <v>7.5</v>
      </c>
      <c r="H8" s="21">
        <v>5</v>
      </c>
    </row>
    <row r="9" spans="2:8" x14ac:dyDescent="0.25">
      <c r="B9" s="47" t="s">
        <v>47</v>
      </c>
      <c r="C9" s="9">
        <f>SUM(C4:C8)</f>
        <v>27</v>
      </c>
      <c r="D9" s="9">
        <f t="shared" ref="D9:E9" si="2">SUM(D4:D8)</f>
        <v>26</v>
      </c>
      <c r="E9" s="9">
        <f t="shared" si="2"/>
        <v>20</v>
      </c>
      <c r="F9" s="48">
        <f t="shared" si="0"/>
        <v>0.76923076923076927</v>
      </c>
      <c r="G9" s="49">
        <f t="shared" ref="G9:H9" si="3">SUM(G4:G8)</f>
        <v>40.5</v>
      </c>
      <c r="H9" s="9">
        <f t="shared" si="3"/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admin5</dc:creator>
  <cp:lastModifiedBy>admin5</cp:lastModifiedBy>
  <dcterms:created xsi:type="dcterms:W3CDTF">2025-02-18T11:14:00Z</dcterms:created>
  <dcterms:modified xsi:type="dcterms:W3CDTF">2025-06-13T09:11:34Z</dcterms:modified>
</cp:coreProperties>
</file>