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aj\Desktop\"/>
    </mc:Choice>
  </mc:AlternateContent>
  <xr:revisionPtr revIDLastSave="0" documentId="13_ncr:1_{2F0F219C-861F-4294-BA70-C79749DBB771}" xr6:coauthVersionLast="47" xr6:coauthVersionMax="47" xr10:uidLastSave="{00000000-0000-0000-0000-000000000000}"/>
  <bookViews>
    <workbookView xWindow="-120" yWindow="-120" windowWidth="20730" windowHeight="11040" xr2:uid="{08EE8CD3-0557-4D82-8670-08EDB59BB09D}"/>
  </bookViews>
  <sheets>
    <sheet name="Sheet1" sheetId="1" r:id="rId1"/>
  </sheets>
  <definedNames>
    <definedName name="_xlnm._FilterDatabase" localSheetId="0" hidden="1">Sheet1!$A$2:$V$25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5" i="1" l="1"/>
  <c r="N24" i="1"/>
  <c r="N34" i="1" l="1"/>
  <c r="N33" i="1"/>
  <c r="N32" i="1"/>
  <c r="N31" i="1"/>
  <c r="S30" i="1"/>
  <c r="N30" i="1"/>
  <c r="N29" i="1"/>
</calcChain>
</file>

<file path=xl/sharedStrings.xml><?xml version="1.0" encoding="utf-8"?>
<sst xmlns="http://schemas.openxmlformats.org/spreadsheetml/2006/main" count="329" uniqueCount="230">
  <si>
    <t>Sl.No</t>
  </si>
  <si>
    <t>Model</t>
  </si>
  <si>
    <t>Color</t>
  </si>
  <si>
    <t>Trim</t>
  </si>
  <si>
    <t>Type</t>
  </si>
  <si>
    <t xml:space="preserve">Comm no </t>
  </si>
  <si>
    <t>Product Name</t>
  </si>
  <si>
    <t>Customer Name</t>
  </si>
  <si>
    <t>SC</t>
  </si>
  <si>
    <t>Bkng.Dt.</t>
  </si>
  <si>
    <t>Status</t>
  </si>
  <si>
    <t>SCC DONE</t>
  </si>
  <si>
    <t>Code</t>
  </si>
  <si>
    <t>Inv.Dt.</t>
  </si>
  <si>
    <t>Chassis no</t>
  </si>
  <si>
    <t>Engine</t>
  </si>
  <si>
    <t>Trans.ID</t>
  </si>
  <si>
    <t>Corporate</t>
  </si>
  <si>
    <t>PDI</t>
  </si>
  <si>
    <t>124A-ARTICO LEATHER-BROWN</t>
  </si>
  <si>
    <t>Ajmal</t>
  </si>
  <si>
    <t>GLC220d</t>
  </si>
  <si>
    <t>X254 GLC 220d 4MATIC</t>
  </si>
  <si>
    <t>GLS 450d</t>
  </si>
  <si>
    <t>X167 GLS 450D 4MATIC AMG Line</t>
  </si>
  <si>
    <t>197-OBSIDIAN BLACK</t>
  </si>
  <si>
    <t>124-BROWN</t>
  </si>
  <si>
    <t>RETAIL WITHOUT SCC</t>
  </si>
  <si>
    <t>X167 GLS 450d 4MATIC</t>
  </si>
  <si>
    <t>191U-COSMOS BLACK</t>
  </si>
  <si>
    <t>105A-LEATHERETTE - BEIGE</t>
  </si>
  <si>
    <t>149U-POLAR WHITE</t>
  </si>
  <si>
    <t>C 220d</t>
  </si>
  <si>
    <t>W206 C 220d</t>
  </si>
  <si>
    <t>Basil</t>
  </si>
  <si>
    <t>105A-ARTICO BEIGE</t>
  </si>
  <si>
    <t>Nafi</t>
  </si>
  <si>
    <t>197U-obsidian black</t>
  </si>
  <si>
    <t>Anish Alexander</t>
  </si>
  <si>
    <t>105A-ARTICO - BEIGE</t>
  </si>
  <si>
    <t>NOVEMBER - RETAIL &amp; SALES CARD CAPTURE</t>
  </si>
  <si>
    <t>0582577738</t>
  </si>
  <si>
    <t>Baiju Kuruppamkunnel Managing Partner</t>
  </si>
  <si>
    <t>Nov invcd</t>
  </si>
  <si>
    <t>W1NFF3DE0SM033780</t>
  </si>
  <si>
    <t>65683080263030</t>
  </si>
  <si>
    <t>GLA 200</t>
  </si>
  <si>
    <t>0582574437</t>
  </si>
  <si>
    <t>H247 GLA 200</t>
  </si>
  <si>
    <t>N S Subhadra</t>
  </si>
  <si>
    <t>W1N4N8HB4TL018231</t>
  </si>
  <si>
    <t>28281480348685</t>
  </si>
  <si>
    <t>0482586946</t>
  </si>
  <si>
    <t>Sherafudheen Theyyampattil</t>
  </si>
  <si>
    <t>W1NFF3DEXSM030532</t>
  </si>
  <si>
    <t>65683080051171</t>
  </si>
  <si>
    <t>0582574084</t>
  </si>
  <si>
    <t>Abdul Majeed P</t>
  </si>
  <si>
    <t>W1NKM0FB5SL010684</t>
  </si>
  <si>
    <t>65482080325218</t>
  </si>
  <si>
    <t>197U-Obsidian Black</t>
  </si>
  <si>
    <t>0582579825</t>
  </si>
  <si>
    <t>Dr. Bijiraj V V</t>
  </si>
  <si>
    <t>W1KAF0EBXTL019449</t>
  </si>
  <si>
    <t>65482080379243</t>
  </si>
  <si>
    <t>IN2510406266</t>
  </si>
  <si>
    <t>IN2510417339</t>
  </si>
  <si>
    <t>IN2510407260</t>
  </si>
  <si>
    <t>IN2510401751</t>
  </si>
  <si>
    <t>IN2510426040</t>
  </si>
  <si>
    <t>C 200</t>
  </si>
  <si>
    <t>885U-OPALITH WHITE</t>
  </si>
  <si>
    <t>104A-BROWN</t>
  </si>
  <si>
    <t>0582577068</t>
  </si>
  <si>
    <t>W206 C 200</t>
  </si>
  <si>
    <t>Gopinathan Palangar Vayalilaveetil</t>
  </si>
  <si>
    <t>Maneesh</t>
  </si>
  <si>
    <t>W1KAF4CB9SL018852</t>
  </si>
  <si>
    <t>254915V0966661</t>
  </si>
  <si>
    <t>E 200</t>
  </si>
  <si>
    <t>149U-polar white</t>
  </si>
  <si>
    <t>125A-ARTICO BEIGE</t>
  </si>
  <si>
    <t>0582579420</t>
  </si>
  <si>
    <t>V214 E 200</t>
  </si>
  <si>
    <t>Anilkumar M K</t>
  </si>
  <si>
    <t>Josbin</t>
  </si>
  <si>
    <t>W1KLG5AB3TL008964</t>
  </si>
  <si>
    <t>254920V1029934</t>
  </si>
  <si>
    <t>GLE 450d</t>
  </si>
  <si>
    <t>197U-OBSIDIAN BLACK</t>
  </si>
  <si>
    <t>0582574907</t>
  </si>
  <si>
    <t>V167 GLE 450D 4MATIC AMG Line</t>
  </si>
  <si>
    <t>Noushad K</t>
  </si>
  <si>
    <t>Manesh G</t>
  </si>
  <si>
    <t>W1NFB3DB2SM032485</t>
  </si>
  <si>
    <t>65683080065701</t>
  </si>
  <si>
    <t>A200</t>
  </si>
  <si>
    <t>0582576082</t>
  </si>
  <si>
    <t>V177 A 200</t>
  </si>
  <si>
    <t>Jolly Mohan</t>
  </si>
  <si>
    <t>Munshar</t>
  </si>
  <si>
    <t>W1K3G8HB8TL010670</t>
  </si>
  <si>
    <t>28281480363292</t>
  </si>
  <si>
    <t>E220d</t>
  </si>
  <si>
    <t>124A-ARTICO BROWN</t>
  </si>
  <si>
    <t>0582579528</t>
  </si>
  <si>
    <t>V214 E 220d</t>
  </si>
  <si>
    <t>ROSHIL DAS MANNAMGOT POOVANNUR MANAGING PARTNER A ONE OFFSET PRINTS</t>
  </si>
  <si>
    <t>W1KLG0EB8TL009072</t>
  </si>
  <si>
    <t>65482080379352</t>
  </si>
  <si>
    <t>294483(293111)</t>
  </si>
  <si>
    <t>IN2510430089</t>
  </si>
  <si>
    <t>IN2510431890</t>
  </si>
  <si>
    <t>IN2510433297</t>
  </si>
  <si>
    <t>IN2510432502</t>
  </si>
  <si>
    <t>IN2510429216</t>
  </si>
  <si>
    <t>NOV DEMO WHOLESALE</t>
  </si>
  <si>
    <t>NOV DEMO RETAIL</t>
  </si>
  <si>
    <t>0582570587</t>
  </si>
  <si>
    <t>A2S Travel(Azeem Sabith Ali)</t>
  </si>
  <si>
    <t>Safeer-31/10</t>
  </si>
  <si>
    <t>Nov invcd/dlvrd</t>
  </si>
  <si>
    <t>VH0000000627</t>
  </si>
  <si>
    <t>W1KAF0EB0SL018275</t>
  </si>
  <si>
    <t>65482080295138</t>
  </si>
  <si>
    <t>GLA220d4M</t>
  </si>
  <si>
    <t>149-POLAR WHITE</t>
  </si>
  <si>
    <t>105-BEIGE</t>
  </si>
  <si>
    <t>0482586092</t>
  </si>
  <si>
    <t>H247 GLA 220d 4MATIC</t>
  </si>
  <si>
    <t>Ismail VC</t>
  </si>
  <si>
    <t>Safeer-21/10</t>
  </si>
  <si>
    <t>VH0000000423</t>
  </si>
  <si>
    <t>W1N4N1FB5SL017310</t>
  </si>
  <si>
    <t>654920V0520062</t>
  </si>
  <si>
    <t>GLE300d4M</t>
  </si>
  <si>
    <t>V167 GLE 300d 4MATIC AMG Line</t>
  </si>
  <si>
    <t>GLC 220d</t>
  </si>
  <si>
    <t>104A-LEATHERETTE - BROWN</t>
  </si>
  <si>
    <t>0582574072</t>
  </si>
  <si>
    <t>Noushad Kunnummal</t>
  </si>
  <si>
    <t>Ajmal-29/10</t>
  </si>
  <si>
    <t>VH0000000847</t>
  </si>
  <si>
    <t>W1NKM0FB9SL010672</t>
  </si>
  <si>
    <t>65482080325199</t>
  </si>
  <si>
    <t>0582570683</t>
  </si>
  <si>
    <t>Dineep M D</t>
  </si>
  <si>
    <t>Sreejesh-14/11</t>
  </si>
  <si>
    <t>VH0000000636</t>
  </si>
  <si>
    <t>W1NKM0FB1SL009905</t>
  </si>
  <si>
    <t>65482080295464</t>
  </si>
  <si>
    <t>Nov invcd/</t>
  </si>
  <si>
    <t>191U-cosmos black</t>
  </si>
  <si>
    <t>Yard</t>
  </si>
  <si>
    <t>0582574430</t>
  </si>
  <si>
    <t>Vadakkan Devassy Thomas</t>
  </si>
  <si>
    <t>Basil Poulose</t>
  </si>
  <si>
    <t>W1N4N8HB7TL018224</t>
  </si>
  <si>
    <t>28281480348609</t>
  </si>
  <si>
    <t>IN2510437233</t>
  </si>
  <si>
    <t>TRSR</t>
  </si>
  <si>
    <t>0582578082</t>
  </si>
  <si>
    <t>Faris C M</t>
  </si>
  <si>
    <t>W1KLG5AB5TL008562</t>
  </si>
  <si>
    <t>254920V1002313</t>
  </si>
  <si>
    <t>0582579827</t>
  </si>
  <si>
    <t>Nidha Nazla A N</t>
  </si>
  <si>
    <t>W1KAF0EB8TL019451</t>
  </si>
  <si>
    <t>65482080379225</t>
  </si>
  <si>
    <t>GLC 300</t>
  </si>
  <si>
    <t>104A-ARTICO BROWN</t>
  </si>
  <si>
    <t>0582576029</t>
  </si>
  <si>
    <t>X254 GLC 300 4MATIC</t>
  </si>
  <si>
    <t>Ashraf Chiramal</t>
  </si>
  <si>
    <t>Nizamudheen</t>
  </si>
  <si>
    <t>W1NKM4HB9SL010949</t>
  </si>
  <si>
    <t>254920V0930251</t>
  </si>
  <si>
    <t>IN2510423464</t>
  </si>
  <si>
    <t>IN2510424044</t>
  </si>
  <si>
    <t>149U-Polar White</t>
  </si>
  <si>
    <t>0582570763</t>
  </si>
  <si>
    <t>Shareena T</t>
  </si>
  <si>
    <t>Fousia-25/11</t>
  </si>
  <si>
    <t>VH0000000680</t>
  </si>
  <si>
    <t>W1NKM0FBXSL010003</t>
  </si>
  <si>
    <t>65482080295578</t>
  </si>
  <si>
    <t>C300</t>
  </si>
  <si>
    <t>194A-ARTICO - BROWN / BLACK</t>
  </si>
  <si>
    <t>0482574645</t>
  </si>
  <si>
    <t>001 W206 C 300 885 194</t>
  </si>
  <si>
    <t>Basanth Raghavan</t>
  </si>
  <si>
    <t>Ajmal-24/11</t>
  </si>
  <si>
    <t>VH0000001334</t>
  </si>
  <si>
    <t>W1KAF4GB2RL016333</t>
  </si>
  <si>
    <t>254920V0593218</t>
  </si>
  <si>
    <t>P V Madhavan Nambiar</t>
  </si>
  <si>
    <t>IN2510447054</t>
  </si>
  <si>
    <t>0582581469</t>
  </si>
  <si>
    <t>W1NFB5KB5TM034991</t>
  </si>
  <si>
    <t>V167 GLE 450 4MATIC AMG Line</t>
  </si>
  <si>
    <t>GLE 450</t>
  </si>
  <si>
    <t>Trnst</t>
  </si>
  <si>
    <t>Thamjeed</t>
  </si>
  <si>
    <t>135A-ARTICO LEATHER-BEIGE</t>
  </si>
  <si>
    <t>25683030304144</t>
  </si>
  <si>
    <t>0582580052</t>
  </si>
  <si>
    <t>Saleem C Partner Buildtech Marketing</t>
  </si>
  <si>
    <t>Irshad</t>
  </si>
  <si>
    <t>H247 GLA 220d 4MATIC AMG Line</t>
  </si>
  <si>
    <t>787U-MOUNTAIN GREY</t>
  </si>
  <si>
    <t>651A-MICROFIBER - BLACK</t>
  </si>
  <si>
    <t>W1N4N1FB1TL018830</t>
  </si>
  <si>
    <t>654920V0581105</t>
  </si>
  <si>
    <t>GLA 220d AMG Line</t>
  </si>
  <si>
    <t>0582510398</t>
  </si>
  <si>
    <t>CBU C167 Mercedes-AMG GLE 53 COUPE</t>
  </si>
  <si>
    <t>149U - polar white</t>
  </si>
  <si>
    <t>857A-Red Pepper / Black</t>
  </si>
  <si>
    <t>W1NFD6BB3SB432596</t>
  </si>
  <si>
    <t>25683030213521</t>
  </si>
  <si>
    <t>AMG GLE53C</t>
  </si>
  <si>
    <t>0582578169</t>
  </si>
  <si>
    <t>W1KLG0EBXTL008649</t>
  </si>
  <si>
    <t>65482080370050</t>
  </si>
  <si>
    <t>IN2510443246</t>
  </si>
  <si>
    <t>0582580083</t>
  </si>
  <si>
    <t>Muhammed Shabid,Dream Mart Hyper Market</t>
  </si>
  <si>
    <t>W1NFB0KB7TM034493</t>
  </si>
  <si>
    <t>65482080379533</t>
  </si>
  <si>
    <t>IN2510429249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</si>
</sst>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orpoS"/>
    </font>
    <font>
      <b/>
      <sz val="11"/>
      <name val="CorpoS"/>
    </font>
    <font>
      <sz val="1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theme="1"/>
      <name val="CorpoS"/>
      <family val="2"/>
    </font>
    <font>
      <sz val="11"/>
      <name val="CorpoS"/>
      <family val="2"/>
    </font>
    <font>
      <sz val="11"/>
      <color theme="1"/>
      <name val="CorpoS"/>
    </font>
    <font>
      <sz val="11"/>
      <color rgb="FF000000"/>
      <name val="Aptos Narrow"/>
      <family val="2"/>
      <scheme val="minor"/>
    </font>
    <font>
      <sz val="11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65">
    <xf numFmtId="0" fontId="0" fillId="0" borderId="0" xfId="0"/>
    <xf numFmtId="0" fontId="0" fillId="0" borderId="0" xfId="0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4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3" xfId="0" applyBorder="1"/>
    <xf numFmtId="0" fontId="6" fillId="3" borderId="3" xfId="0" applyFont="1" applyFill="1" applyBorder="1" applyAlignment="1">
      <alignment horizontal="center"/>
    </xf>
    <xf numFmtId="0" fontId="0" fillId="0" borderId="3" xfId="0" quotePrefix="1" applyBorder="1" applyAlignment="1">
      <alignment horizontal="center"/>
    </xf>
    <xf numFmtId="14" fontId="7" fillId="0" borderId="3" xfId="0" applyNumberFormat="1" applyFont="1" applyBorder="1" applyAlignment="1">
      <alignment horizontal="right"/>
    </xf>
    <xf numFmtId="0" fontId="7" fillId="0" borderId="3" xfId="0" applyFont="1" applyBorder="1"/>
    <xf numFmtId="0" fontId="0" fillId="4" borderId="3" xfId="0" applyFill="1" applyBorder="1" applyAlignment="1">
      <alignment horizontal="center"/>
    </xf>
    <xf numFmtId="0" fontId="5" fillId="0" borderId="3" xfId="0" applyFont="1" applyBorder="1"/>
    <xf numFmtId="0" fontId="5" fillId="0" borderId="3" xfId="0" quotePrefix="1" applyFont="1" applyBorder="1"/>
    <xf numFmtId="0" fontId="7" fillId="0" borderId="3" xfId="0" applyFont="1" applyBorder="1" applyAlignment="1">
      <alignment horizontal="center"/>
    </xf>
    <xf numFmtId="0" fontId="7" fillId="0" borderId="0" xfId="0" applyFont="1"/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left"/>
    </xf>
    <xf numFmtId="0" fontId="8" fillId="0" borderId="3" xfId="0" quotePrefix="1" applyFont="1" applyBorder="1" applyAlignment="1">
      <alignment horizontal="center" wrapText="1"/>
    </xf>
    <xf numFmtId="0" fontId="7" fillId="0" borderId="3" xfId="0" applyFont="1" applyBorder="1" applyAlignment="1">
      <alignment horizontal="left"/>
    </xf>
    <xf numFmtId="0" fontId="0" fillId="0" borderId="0" xfId="0" applyAlignment="1">
      <alignment horizontal="left"/>
    </xf>
    <xf numFmtId="14" fontId="9" fillId="0" borderId="3" xfId="0" applyNumberFormat="1" applyFont="1" applyBorder="1"/>
    <xf numFmtId="0" fontId="2" fillId="0" borderId="4" xfId="0" applyFont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0" fillId="0" borderId="4" xfId="0" applyBorder="1"/>
    <xf numFmtId="17" fontId="7" fillId="0" borderId="3" xfId="0" applyNumberFormat="1" applyFont="1" applyBorder="1"/>
    <xf numFmtId="14" fontId="7" fillId="0" borderId="3" xfId="0" applyNumberFormat="1" applyFont="1" applyBorder="1"/>
    <xf numFmtId="17" fontId="0" fillId="0" borderId="3" xfId="0" applyNumberFormat="1" applyBorder="1"/>
    <xf numFmtId="0" fontId="0" fillId="0" borderId="0" xfId="0" applyAlignment="1">
      <alignment vertical="top"/>
    </xf>
    <xf numFmtId="0" fontId="3" fillId="0" borderId="5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2" fillId="0" borderId="2" xfId="0" applyFont="1" applyBorder="1"/>
    <xf numFmtId="0" fontId="0" fillId="0" borderId="8" xfId="0" applyBorder="1" applyAlignment="1">
      <alignment horizontal="center"/>
    </xf>
    <xf numFmtId="0" fontId="8" fillId="0" borderId="3" xfId="0" applyFont="1" applyBorder="1" applyAlignment="1">
      <alignment horizontal="left"/>
    </xf>
    <xf numFmtId="0" fontId="10" fillId="0" borderId="3" xfId="0" applyFont="1" applyBorder="1" applyAlignment="1">
      <alignment horizontal="center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wrapText="1"/>
    </xf>
    <xf numFmtId="0" fontId="5" fillId="0" borderId="3" xfId="0" applyFont="1" applyBorder="1" applyAlignment="1">
      <alignment horizontal="center" vertical="center"/>
    </xf>
    <xf numFmtId="14" fontId="7" fillId="0" borderId="3" xfId="0" applyNumberFormat="1" applyFont="1" applyBorder="1" applyAlignment="1">
      <alignment horizontal="left"/>
    </xf>
    <xf numFmtId="0" fontId="8" fillId="0" borderId="3" xfId="0" applyFont="1" applyBorder="1" applyAlignment="1">
      <alignment horizontal="center"/>
    </xf>
    <xf numFmtId="14" fontId="7" fillId="0" borderId="3" xfId="0" applyNumberFormat="1" applyFont="1" applyBorder="1" applyAlignment="1">
      <alignment horizontal="center"/>
    </xf>
    <xf numFmtId="0" fontId="0" fillId="0" borderId="3" xfId="0" quotePrefix="1" applyBorder="1"/>
    <xf numFmtId="0" fontId="5" fillId="0" borderId="0" xfId="0" applyFont="1"/>
    <xf numFmtId="14" fontId="0" fillId="0" borderId="3" xfId="0" applyNumberFormat="1" applyBorder="1"/>
    <xf numFmtId="0" fontId="11" fillId="0" borderId="3" xfId="0" applyFont="1" applyBorder="1"/>
    <xf numFmtId="0" fontId="0" fillId="0" borderId="3" xfId="0" applyBorder="1" applyAlignment="1">
      <alignment horizontal="left" vertical="top"/>
    </xf>
    <xf numFmtId="0" fontId="10" fillId="3" borderId="3" xfId="0" applyFont="1" applyFill="1" applyBorder="1" applyAlignment="1">
      <alignment horizontal="center"/>
    </xf>
    <xf numFmtId="0" fontId="0" fillId="0" borderId="3" xfId="0" applyBorder="1" applyAlignment="1">
      <alignment horizontal="center" vertical="top"/>
    </xf>
    <xf numFmtId="0" fontId="0" fillId="0" borderId="3" xfId="0" applyBorder="1" applyAlignment="1">
      <alignment vertical="top"/>
    </xf>
    <xf numFmtId="0" fontId="8" fillId="0" borderId="3" xfId="0" applyFont="1" applyBorder="1" applyAlignment="1">
      <alignment horizontal="center" vertical="top"/>
    </xf>
    <xf numFmtId="14" fontId="0" fillId="0" borderId="3" xfId="0" applyNumberFormat="1" applyBorder="1" applyAlignment="1">
      <alignment horizontal="left" vertical="top"/>
    </xf>
    <xf numFmtId="0" fontId="10" fillId="5" borderId="3" xfId="0" applyFont="1" applyFill="1" applyBorder="1" applyAlignment="1">
      <alignment horizontal="center"/>
    </xf>
    <xf numFmtId="0" fontId="0" fillId="0" borderId="2" xfId="0" applyBorder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2">
    <cellStyle name="Normal" xfId="0" builtinId="0"/>
    <cellStyle name="Normal 4" xfId="1" xr:uid="{7E4C5FC4-AD57-4D06-8F8E-4FA79411583F}"/>
  </cellStyles>
  <dxfs count="19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A28EA-0450-4815-9F7B-6B5BC72AE143}">
  <dimension ref="A1:V43"/>
  <sheetViews>
    <sheetView tabSelected="1" workbookViewId="0">
      <selection activeCell="E34" sqref="E34"/>
    </sheetView>
  </sheetViews>
  <sheetFormatPr defaultRowHeight="15" x14ac:dyDescent="0.25"/>
  <cols>
    <col min="1" max="1" width="6.7109375" customWidth="1"/>
    <col min="2" max="2" width="12.7109375" customWidth="1"/>
    <col min="3" max="3" width="18.28515625" customWidth="1"/>
    <col min="4" max="4" width="19.85546875" customWidth="1"/>
    <col min="6" max="6" width="12.5703125" style="1" customWidth="1"/>
    <col min="7" max="7" width="34.28515625" customWidth="1"/>
    <col min="8" max="8" width="24.140625" customWidth="1"/>
    <col min="9" max="9" width="14.5703125" bestFit="1" customWidth="1"/>
    <col min="10" max="10" width="13.28515625" customWidth="1"/>
    <col min="11" max="11" width="18.42578125" bestFit="1" customWidth="1"/>
    <col min="12" max="12" width="15.140625" bestFit="1" customWidth="1"/>
    <col min="13" max="13" width="14.5703125" bestFit="1" customWidth="1"/>
    <col min="14" max="14" width="12.7109375" style="1" customWidth="1"/>
    <col min="15" max="15" width="20.85546875" customWidth="1"/>
    <col min="16" max="16" width="16.140625" customWidth="1"/>
    <col min="17" max="17" width="13.140625" bestFit="1" customWidth="1"/>
    <col min="18" max="18" width="12.42578125" bestFit="1" customWidth="1"/>
  </cols>
  <sheetData>
    <row r="1" spans="1:20" ht="18" customHeight="1" x14ac:dyDescent="0.25">
      <c r="F1" s="59" t="s">
        <v>40</v>
      </c>
      <c r="G1" s="59"/>
      <c r="H1" s="59"/>
      <c r="I1" s="60"/>
    </row>
    <row r="2" spans="1:20" x14ac:dyDescent="0.25">
      <c r="A2" s="2" t="s">
        <v>0</v>
      </c>
      <c r="B2" s="2" t="s">
        <v>1</v>
      </c>
      <c r="C2" s="3" t="s">
        <v>2</v>
      </c>
      <c r="D2" s="2" t="s">
        <v>3</v>
      </c>
      <c r="E2" s="2" t="s">
        <v>4</v>
      </c>
      <c r="F2" s="4" t="s">
        <v>5</v>
      </c>
      <c r="G2" s="2" t="s">
        <v>6</v>
      </c>
      <c r="H2" s="2" t="s">
        <v>7</v>
      </c>
      <c r="I2" s="5" t="s">
        <v>8</v>
      </c>
      <c r="J2" s="6" t="s">
        <v>9</v>
      </c>
      <c r="K2" s="5" t="s">
        <v>10</v>
      </c>
      <c r="L2" s="7" t="s">
        <v>11</v>
      </c>
      <c r="M2" s="2" t="s">
        <v>12</v>
      </c>
      <c r="N2" s="8" t="s">
        <v>13</v>
      </c>
      <c r="O2" s="8" t="s">
        <v>14</v>
      </c>
      <c r="P2" s="5" t="s">
        <v>15</v>
      </c>
      <c r="Q2" s="9" t="s">
        <v>16</v>
      </c>
      <c r="R2" s="9" t="s">
        <v>17</v>
      </c>
    </row>
    <row r="3" spans="1:20" x14ac:dyDescent="0.25">
      <c r="A3" s="10">
        <v>1</v>
      </c>
      <c r="B3" s="22" t="s">
        <v>23</v>
      </c>
      <c r="C3" s="11" t="s">
        <v>37</v>
      </c>
      <c r="D3" s="11" t="s">
        <v>19</v>
      </c>
      <c r="E3" s="12" t="s">
        <v>18</v>
      </c>
      <c r="F3" s="13" t="s">
        <v>41</v>
      </c>
      <c r="G3" s="11" t="s">
        <v>24</v>
      </c>
      <c r="H3" s="11" t="s">
        <v>42</v>
      </c>
      <c r="I3" s="11" t="s">
        <v>38</v>
      </c>
      <c r="J3" s="49">
        <v>45961</v>
      </c>
      <c r="K3" s="11" t="s">
        <v>43</v>
      </c>
      <c r="L3" s="11" t="s">
        <v>11</v>
      </c>
      <c r="M3" s="16">
        <v>285340</v>
      </c>
      <c r="N3" s="49">
        <v>45965</v>
      </c>
      <c r="O3" s="17" t="s">
        <v>44</v>
      </c>
      <c r="P3" s="17" t="s">
        <v>45</v>
      </c>
      <c r="Q3" s="17" t="s">
        <v>65</v>
      </c>
      <c r="R3" s="11"/>
      <c r="S3" s="41"/>
      <c r="T3" s="25"/>
    </row>
    <row r="4" spans="1:20" s="20" customFormat="1" x14ac:dyDescent="0.25">
      <c r="A4" s="10">
        <v>2</v>
      </c>
      <c r="B4" s="15" t="s">
        <v>21</v>
      </c>
      <c r="C4" s="11" t="s">
        <v>31</v>
      </c>
      <c r="D4" s="11" t="s">
        <v>30</v>
      </c>
      <c r="E4" s="12" t="s">
        <v>18</v>
      </c>
      <c r="F4" s="13" t="s">
        <v>56</v>
      </c>
      <c r="G4" s="11" t="s">
        <v>22</v>
      </c>
      <c r="H4" s="17" t="s">
        <v>57</v>
      </c>
      <c r="I4" s="22" t="s">
        <v>34</v>
      </c>
      <c r="J4" s="49">
        <v>45961</v>
      </c>
      <c r="K4" s="11" t="s">
        <v>43</v>
      </c>
      <c r="L4" s="11" t="s">
        <v>11</v>
      </c>
      <c r="M4" s="16">
        <v>2877437</v>
      </c>
      <c r="N4" s="49">
        <v>45969</v>
      </c>
      <c r="O4" s="17" t="s">
        <v>58</v>
      </c>
      <c r="P4" s="18" t="s">
        <v>59</v>
      </c>
      <c r="Q4" s="17" t="s">
        <v>68</v>
      </c>
      <c r="R4" s="15"/>
      <c r="S4" s="19"/>
    </row>
    <row r="5" spans="1:20" x14ac:dyDescent="0.25">
      <c r="A5" s="10">
        <v>3</v>
      </c>
      <c r="B5" s="22" t="s">
        <v>46</v>
      </c>
      <c r="C5" s="11" t="s">
        <v>29</v>
      </c>
      <c r="D5" s="11" t="s">
        <v>39</v>
      </c>
      <c r="E5" s="12" t="s">
        <v>18</v>
      </c>
      <c r="F5" s="13" t="s">
        <v>47</v>
      </c>
      <c r="G5" s="50" t="s">
        <v>48</v>
      </c>
      <c r="H5" s="22" t="s">
        <v>49</v>
      </c>
      <c r="I5" s="22" t="s">
        <v>36</v>
      </c>
      <c r="J5" s="49">
        <v>45967</v>
      </c>
      <c r="K5" s="11" t="s">
        <v>43</v>
      </c>
      <c r="L5" s="11" t="s">
        <v>11</v>
      </c>
      <c r="M5" s="16">
        <v>288564</v>
      </c>
      <c r="N5" s="49">
        <v>45973</v>
      </c>
      <c r="O5" s="17" t="s">
        <v>50</v>
      </c>
      <c r="P5" s="17" t="s">
        <v>51</v>
      </c>
      <c r="Q5" s="17" t="s">
        <v>66</v>
      </c>
      <c r="R5" s="11"/>
      <c r="S5" s="41"/>
      <c r="T5" s="25"/>
    </row>
    <row r="6" spans="1:20" s="20" customFormat="1" x14ac:dyDescent="0.25">
      <c r="A6" s="10">
        <v>4</v>
      </c>
      <c r="B6" s="22" t="s">
        <v>23</v>
      </c>
      <c r="C6" s="11" t="s">
        <v>25</v>
      </c>
      <c r="D6" s="11" t="s">
        <v>26</v>
      </c>
      <c r="E6" s="12" t="s">
        <v>18</v>
      </c>
      <c r="F6" s="13" t="s">
        <v>52</v>
      </c>
      <c r="G6" s="11" t="s">
        <v>28</v>
      </c>
      <c r="H6" s="22" t="s">
        <v>53</v>
      </c>
      <c r="I6" s="22" t="s">
        <v>34</v>
      </c>
      <c r="J6" s="49">
        <v>45923</v>
      </c>
      <c r="K6" s="11" t="s">
        <v>43</v>
      </c>
      <c r="L6" s="11" t="s">
        <v>11</v>
      </c>
      <c r="M6" s="16">
        <v>217921</v>
      </c>
      <c r="N6" s="49">
        <v>45973</v>
      </c>
      <c r="O6" s="17" t="s">
        <v>54</v>
      </c>
      <c r="P6" s="18" t="s">
        <v>55</v>
      </c>
      <c r="Q6" s="17" t="s">
        <v>67</v>
      </c>
      <c r="R6" s="15"/>
      <c r="S6" s="19"/>
    </row>
    <row r="7" spans="1:20" s="20" customFormat="1" x14ac:dyDescent="0.25">
      <c r="A7" s="10">
        <v>5</v>
      </c>
      <c r="B7" s="42" t="s">
        <v>32</v>
      </c>
      <c r="C7" s="11" t="s">
        <v>60</v>
      </c>
      <c r="D7" s="11" t="s">
        <v>35</v>
      </c>
      <c r="E7" s="12" t="s">
        <v>18</v>
      </c>
      <c r="F7" s="13" t="s">
        <v>61</v>
      </c>
      <c r="G7" s="11" t="s">
        <v>33</v>
      </c>
      <c r="H7" s="22" t="s">
        <v>62</v>
      </c>
      <c r="I7" s="22" t="s">
        <v>20</v>
      </c>
      <c r="J7" s="49">
        <v>45973</v>
      </c>
      <c r="K7" s="11" t="s">
        <v>43</v>
      </c>
      <c r="L7" s="11" t="s">
        <v>11</v>
      </c>
      <c r="M7" s="16">
        <v>276529</v>
      </c>
      <c r="N7" s="49">
        <v>45980</v>
      </c>
      <c r="O7" s="17" t="s">
        <v>63</v>
      </c>
      <c r="P7" s="18" t="s">
        <v>64</v>
      </c>
      <c r="Q7" s="11" t="s">
        <v>69</v>
      </c>
      <c r="R7" s="15"/>
      <c r="S7" s="19"/>
    </row>
    <row r="8" spans="1:20" s="20" customFormat="1" x14ac:dyDescent="0.25">
      <c r="A8" s="10">
        <v>6</v>
      </c>
      <c r="B8" s="15" t="s">
        <v>79</v>
      </c>
      <c r="C8" s="11" t="s">
        <v>80</v>
      </c>
      <c r="D8" s="11" t="s">
        <v>81</v>
      </c>
      <c r="E8" s="12" t="s">
        <v>18</v>
      </c>
      <c r="F8" s="13" t="s">
        <v>82</v>
      </c>
      <c r="G8" s="11" t="s">
        <v>83</v>
      </c>
      <c r="H8" s="22" t="s">
        <v>84</v>
      </c>
      <c r="I8" s="22" t="s">
        <v>85</v>
      </c>
      <c r="J8" s="49">
        <v>45977</v>
      </c>
      <c r="K8" s="11" t="s">
        <v>43</v>
      </c>
      <c r="L8" s="11" t="s">
        <v>11</v>
      </c>
      <c r="M8" s="16">
        <v>294473</v>
      </c>
      <c r="N8" s="49">
        <v>45985</v>
      </c>
      <c r="O8" s="17" t="s">
        <v>86</v>
      </c>
      <c r="P8" s="17" t="s">
        <v>87</v>
      </c>
      <c r="Q8" s="17" t="s">
        <v>112</v>
      </c>
      <c r="R8" s="15"/>
      <c r="S8" s="19"/>
    </row>
    <row r="9" spans="1:20" s="20" customFormat="1" x14ac:dyDescent="0.25">
      <c r="A9" s="10">
        <v>7</v>
      </c>
      <c r="B9" s="11" t="s">
        <v>88</v>
      </c>
      <c r="C9" s="11" t="s">
        <v>89</v>
      </c>
      <c r="D9" s="11" t="s">
        <v>19</v>
      </c>
      <c r="E9" s="12" t="s">
        <v>18</v>
      </c>
      <c r="F9" s="13" t="s">
        <v>90</v>
      </c>
      <c r="G9" s="11" t="s">
        <v>91</v>
      </c>
      <c r="H9" s="22" t="s">
        <v>92</v>
      </c>
      <c r="I9" s="22" t="s">
        <v>93</v>
      </c>
      <c r="J9" s="49">
        <v>45978</v>
      </c>
      <c r="K9" s="11" t="s">
        <v>43</v>
      </c>
      <c r="L9" s="11" t="s">
        <v>11</v>
      </c>
      <c r="M9" s="16">
        <v>2890919</v>
      </c>
      <c r="N9" s="49">
        <v>45985</v>
      </c>
      <c r="O9" s="17" t="s">
        <v>94</v>
      </c>
      <c r="P9" s="17" t="s">
        <v>95</v>
      </c>
      <c r="Q9" s="17" t="s">
        <v>113</v>
      </c>
      <c r="R9" s="15"/>
      <c r="S9" s="19"/>
    </row>
    <row r="10" spans="1:20" s="20" customFormat="1" x14ac:dyDescent="0.25">
      <c r="A10" s="10">
        <v>8</v>
      </c>
      <c r="B10" s="15" t="s">
        <v>70</v>
      </c>
      <c r="C10" s="11" t="s">
        <v>71</v>
      </c>
      <c r="D10" s="11" t="s">
        <v>72</v>
      </c>
      <c r="E10" s="12" t="s">
        <v>18</v>
      </c>
      <c r="F10" s="13" t="s">
        <v>73</v>
      </c>
      <c r="G10" s="11" t="s">
        <v>74</v>
      </c>
      <c r="H10" s="22" t="s">
        <v>75</v>
      </c>
      <c r="I10" s="22" t="s">
        <v>76</v>
      </c>
      <c r="J10" s="49">
        <v>45975</v>
      </c>
      <c r="K10" s="11" t="s">
        <v>43</v>
      </c>
      <c r="L10" s="11" t="s">
        <v>11</v>
      </c>
      <c r="M10" s="16">
        <v>291362</v>
      </c>
      <c r="N10" s="49">
        <v>45986</v>
      </c>
      <c r="O10" s="17" t="s">
        <v>77</v>
      </c>
      <c r="P10" s="17" t="s">
        <v>78</v>
      </c>
      <c r="Q10" s="17" t="s">
        <v>111</v>
      </c>
      <c r="R10" s="15"/>
      <c r="S10" s="19"/>
    </row>
    <row r="11" spans="1:20" s="20" customFormat="1" x14ac:dyDescent="0.25">
      <c r="A11" s="10">
        <v>9</v>
      </c>
      <c r="B11" s="51" t="s">
        <v>96</v>
      </c>
      <c r="C11" s="11" t="s">
        <v>29</v>
      </c>
      <c r="D11" s="11" t="s">
        <v>30</v>
      </c>
      <c r="E11" s="12" t="s">
        <v>18</v>
      </c>
      <c r="F11" s="13" t="s">
        <v>97</v>
      </c>
      <c r="G11" s="11" t="s">
        <v>98</v>
      </c>
      <c r="H11" s="22" t="s">
        <v>99</v>
      </c>
      <c r="I11" s="22" t="s">
        <v>100</v>
      </c>
      <c r="J11" s="49">
        <v>45974</v>
      </c>
      <c r="K11" s="11" t="s">
        <v>43</v>
      </c>
      <c r="L11" s="11" t="s">
        <v>11</v>
      </c>
      <c r="M11" s="16" t="s">
        <v>110</v>
      </c>
      <c r="N11" s="49">
        <v>45986</v>
      </c>
      <c r="O11" s="17" t="s">
        <v>101</v>
      </c>
      <c r="P11" s="17" t="s">
        <v>102</v>
      </c>
      <c r="Q11" s="17" t="s">
        <v>114</v>
      </c>
      <c r="R11" s="15"/>
      <c r="S11" s="19"/>
    </row>
    <row r="12" spans="1:20" s="20" customFormat="1" x14ac:dyDescent="0.25">
      <c r="A12" s="10">
        <v>10</v>
      </c>
      <c r="B12" s="22" t="s">
        <v>103</v>
      </c>
      <c r="C12" s="11" t="s">
        <v>89</v>
      </c>
      <c r="D12" s="11" t="s">
        <v>104</v>
      </c>
      <c r="E12" s="12" t="s">
        <v>18</v>
      </c>
      <c r="F12" s="13" t="s">
        <v>105</v>
      </c>
      <c r="G12" s="11" t="s">
        <v>106</v>
      </c>
      <c r="H12" s="22" t="s">
        <v>107</v>
      </c>
      <c r="I12" s="22" t="s">
        <v>20</v>
      </c>
      <c r="J12" s="49">
        <v>45975</v>
      </c>
      <c r="K12" s="11" t="s">
        <v>43</v>
      </c>
      <c r="L12" s="11" t="s">
        <v>11</v>
      </c>
      <c r="M12" s="16">
        <v>293257</v>
      </c>
      <c r="N12" s="49">
        <v>45987</v>
      </c>
      <c r="O12" s="17" t="s">
        <v>108</v>
      </c>
      <c r="P12" s="18" t="s">
        <v>109</v>
      </c>
      <c r="Q12" s="17" t="s">
        <v>115</v>
      </c>
      <c r="R12" s="15"/>
      <c r="S12" s="19"/>
    </row>
    <row r="13" spans="1:20" s="20" customFormat="1" x14ac:dyDescent="0.25">
      <c r="A13" s="10">
        <v>11</v>
      </c>
      <c r="B13" s="22" t="s">
        <v>46</v>
      </c>
      <c r="C13" s="11" t="s">
        <v>152</v>
      </c>
      <c r="D13" s="11" t="s">
        <v>39</v>
      </c>
      <c r="E13" s="21" t="s">
        <v>153</v>
      </c>
      <c r="F13" s="13" t="s">
        <v>154</v>
      </c>
      <c r="G13" s="11" t="s">
        <v>48</v>
      </c>
      <c r="H13" s="22" t="s">
        <v>155</v>
      </c>
      <c r="I13" s="22" t="s">
        <v>156</v>
      </c>
      <c r="J13" s="49">
        <v>45980</v>
      </c>
      <c r="K13" s="11" t="s">
        <v>43</v>
      </c>
      <c r="L13" s="11" t="s">
        <v>11</v>
      </c>
      <c r="M13" s="16">
        <v>293146</v>
      </c>
      <c r="N13" s="49">
        <v>45989</v>
      </c>
      <c r="O13" s="17" t="s">
        <v>157</v>
      </c>
      <c r="P13" s="17" t="s">
        <v>158</v>
      </c>
      <c r="Q13" s="48" t="s">
        <v>159</v>
      </c>
      <c r="R13" s="15"/>
      <c r="S13" s="19"/>
    </row>
    <row r="14" spans="1:20" s="20" customFormat="1" x14ac:dyDescent="0.25">
      <c r="A14" s="10">
        <v>12</v>
      </c>
      <c r="B14" s="15" t="s">
        <v>79</v>
      </c>
      <c r="C14" s="11" t="s">
        <v>89</v>
      </c>
      <c r="D14" s="11" t="s">
        <v>81</v>
      </c>
      <c r="E14" s="52" t="s">
        <v>160</v>
      </c>
      <c r="F14" s="13" t="s">
        <v>161</v>
      </c>
      <c r="G14" s="11" t="s">
        <v>83</v>
      </c>
      <c r="H14" s="17" t="s">
        <v>162</v>
      </c>
      <c r="I14" s="17" t="s">
        <v>36</v>
      </c>
      <c r="J14" s="49">
        <v>45968</v>
      </c>
      <c r="K14" s="11" t="s">
        <v>43</v>
      </c>
      <c r="L14" s="11" t="s">
        <v>11</v>
      </c>
      <c r="M14" s="16">
        <v>2982898</v>
      </c>
      <c r="N14" s="49">
        <v>45989</v>
      </c>
      <c r="O14" s="17" t="s">
        <v>163</v>
      </c>
      <c r="P14" s="17" t="s">
        <v>164</v>
      </c>
      <c r="Q14" s="17" t="s">
        <v>177</v>
      </c>
      <c r="R14" s="15"/>
      <c r="S14" s="19"/>
    </row>
    <row r="15" spans="1:20" s="20" customFormat="1" x14ac:dyDescent="0.25">
      <c r="A15" s="10">
        <v>13</v>
      </c>
      <c r="B15" s="42" t="s">
        <v>32</v>
      </c>
      <c r="C15" s="11" t="s">
        <v>60</v>
      </c>
      <c r="D15" s="11" t="s">
        <v>35</v>
      </c>
      <c r="E15" s="21" t="s">
        <v>153</v>
      </c>
      <c r="F15" s="13" t="s">
        <v>165</v>
      </c>
      <c r="G15" s="11" t="s">
        <v>33</v>
      </c>
      <c r="H15" s="22" t="s">
        <v>166</v>
      </c>
      <c r="I15" s="22" t="s">
        <v>156</v>
      </c>
      <c r="J15" s="49">
        <v>45972</v>
      </c>
      <c r="K15" s="11" t="s">
        <v>43</v>
      </c>
      <c r="L15" s="11" t="s">
        <v>11</v>
      </c>
      <c r="M15" s="16">
        <v>284096</v>
      </c>
      <c r="N15" s="49">
        <v>45990</v>
      </c>
      <c r="O15" s="17" t="s">
        <v>167</v>
      </c>
      <c r="P15" s="17" t="s">
        <v>168</v>
      </c>
      <c r="Q15" s="11" t="s">
        <v>178</v>
      </c>
      <c r="R15" s="15"/>
      <c r="S15" s="19"/>
    </row>
    <row r="16" spans="1:20" s="20" customFormat="1" x14ac:dyDescent="0.25">
      <c r="A16" s="10">
        <v>14</v>
      </c>
      <c r="B16" s="22" t="s">
        <v>169</v>
      </c>
      <c r="C16" s="11" t="s">
        <v>80</v>
      </c>
      <c r="D16" s="11" t="s">
        <v>170</v>
      </c>
      <c r="E16" s="21" t="s">
        <v>153</v>
      </c>
      <c r="F16" s="13" t="s">
        <v>171</v>
      </c>
      <c r="G16" s="11" t="s">
        <v>172</v>
      </c>
      <c r="H16" s="17" t="s">
        <v>173</v>
      </c>
      <c r="I16" s="17" t="s">
        <v>174</v>
      </c>
      <c r="J16" s="49">
        <v>45965</v>
      </c>
      <c r="K16" s="11" t="s">
        <v>43</v>
      </c>
      <c r="L16" s="11" t="s">
        <v>11</v>
      </c>
      <c r="M16" s="16">
        <v>287806</v>
      </c>
      <c r="N16" s="49">
        <v>45990</v>
      </c>
      <c r="O16" s="17" t="s">
        <v>175</v>
      </c>
      <c r="P16" s="17" t="s">
        <v>176</v>
      </c>
      <c r="Q16" s="17" t="s">
        <v>229</v>
      </c>
      <c r="R16" s="15"/>
      <c r="S16" s="19"/>
    </row>
    <row r="17" spans="1:22" s="20" customFormat="1" x14ac:dyDescent="0.25">
      <c r="A17" s="10">
        <v>15</v>
      </c>
      <c r="B17" s="42" t="s">
        <v>200</v>
      </c>
      <c r="C17" s="11" t="s">
        <v>179</v>
      </c>
      <c r="D17" s="11" t="s">
        <v>203</v>
      </c>
      <c r="E17" s="57" t="s">
        <v>201</v>
      </c>
      <c r="F17" s="13" t="s">
        <v>197</v>
      </c>
      <c r="G17" s="17" t="s">
        <v>199</v>
      </c>
      <c r="H17" s="17" t="s">
        <v>195</v>
      </c>
      <c r="I17" s="17" t="s">
        <v>202</v>
      </c>
      <c r="J17" s="49">
        <v>45988</v>
      </c>
      <c r="K17" s="11" t="s">
        <v>43</v>
      </c>
      <c r="L17" s="11" t="s">
        <v>11</v>
      </c>
      <c r="M17" s="16">
        <v>2996880</v>
      </c>
      <c r="N17" s="49">
        <v>45990</v>
      </c>
      <c r="O17" s="17" t="s">
        <v>198</v>
      </c>
      <c r="P17" s="17" t="s">
        <v>204</v>
      </c>
      <c r="Q17" s="17" t="s">
        <v>196</v>
      </c>
      <c r="R17" s="15"/>
      <c r="S17" s="19"/>
    </row>
    <row r="18" spans="1:22" s="20" customFormat="1" x14ac:dyDescent="0.25">
      <c r="A18" s="10">
        <v>16</v>
      </c>
      <c r="B18" s="11" t="s">
        <v>213</v>
      </c>
      <c r="C18" s="11" t="s">
        <v>209</v>
      </c>
      <c r="D18" s="11" t="s">
        <v>210</v>
      </c>
      <c r="E18" s="57" t="s">
        <v>201</v>
      </c>
      <c r="F18" s="13" t="s">
        <v>205</v>
      </c>
      <c r="G18" s="58" t="s">
        <v>208</v>
      </c>
      <c r="H18" s="17" t="s">
        <v>206</v>
      </c>
      <c r="I18" s="17" t="s">
        <v>207</v>
      </c>
      <c r="J18" s="49">
        <v>45985</v>
      </c>
      <c r="K18" s="11" t="s">
        <v>43</v>
      </c>
      <c r="L18" s="11" t="s">
        <v>11</v>
      </c>
      <c r="M18" s="16">
        <v>299051</v>
      </c>
      <c r="N18" s="49">
        <v>45991</v>
      </c>
      <c r="O18" s="17" t="s">
        <v>211</v>
      </c>
      <c r="P18" s="17" t="s">
        <v>212</v>
      </c>
      <c r="Q18" s="17" t="s">
        <v>224</v>
      </c>
      <c r="R18" s="15"/>
      <c r="S18" s="19"/>
    </row>
    <row r="19" spans="1:22" x14ac:dyDescent="0.25">
      <c r="A19" s="10">
        <v>17</v>
      </c>
      <c r="B19" s="15" t="s">
        <v>135</v>
      </c>
      <c r="C19" s="11" t="s">
        <v>60</v>
      </c>
      <c r="D19" s="11" t="s">
        <v>19</v>
      </c>
      <c r="E19" s="57" t="s">
        <v>201</v>
      </c>
      <c r="F19" s="11" t="s">
        <v>225</v>
      </c>
      <c r="G19" s="11" t="s">
        <v>136</v>
      </c>
      <c r="H19" s="11" t="s">
        <v>226</v>
      </c>
      <c r="I19" s="22" t="s">
        <v>207</v>
      </c>
      <c r="J19" s="49">
        <v>45990</v>
      </c>
      <c r="K19" s="11" t="s">
        <v>43</v>
      </c>
      <c r="L19" s="11" t="s">
        <v>11</v>
      </c>
      <c r="M19" s="11"/>
      <c r="N19" s="49">
        <v>45991</v>
      </c>
      <c r="O19" s="17" t="s">
        <v>227</v>
      </c>
      <c r="P19" s="17" t="s">
        <v>228</v>
      </c>
      <c r="Q19" s="11"/>
      <c r="R19" s="11"/>
      <c r="S19" s="41"/>
      <c r="T19" s="25"/>
    </row>
    <row r="20" spans="1:22" x14ac:dyDescent="0.25">
      <c r="A20" s="10"/>
      <c r="B20" s="22"/>
      <c r="C20" s="11"/>
      <c r="D20" s="11"/>
      <c r="E20" s="21"/>
      <c r="F20" s="23"/>
      <c r="G20" s="11"/>
      <c r="H20" s="11"/>
      <c r="I20" s="22"/>
      <c r="J20" s="14"/>
      <c r="K20" s="11"/>
      <c r="L20" s="15"/>
      <c r="M20" s="21"/>
      <c r="N20" s="26"/>
      <c r="O20" s="17"/>
      <c r="P20" s="17"/>
      <c r="Q20" s="17"/>
      <c r="R20" s="15"/>
      <c r="S20" s="41"/>
      <c r="T20" s="25"/>
    </row>
    <row r="21" spans="1:22" s="20" customFormat="1" x14ac:dyDescent="0.25">
      <c r="A21" s="10"/>
      <c r="B21" s="11"/>
      <c r="C21" s="11"/>
      <c r="D21" s="11"/>
      <c r="E21" s="21"/>
      <c r="F21" s="23"/>
      <c r="G21" s="11"/>
      <c r="H21" s="11"/>
      <c r="I21" s="11"/>
      <c r="J21" s="14"/>
      <c r="K21" s="11"/>
      <c r="L21" s="15"/>
      <c r="M21" s="21"/>
      <c r="N21" s="26"/>
      <c r="O21" s="17"/>
      <c r="P21" s="17"/>
      <c r="Q21" s="17"/>
      <c r="R21" s="15"/>
      <c r="S21" s="19"/>
    </row>
    <row r="22" spans="1:22" x14ac:dyDescent="0.25">
      <c r="A22" s="10"/>
      <c r="B22" s="22"/>
      <c r="C22" s="11"/>
      <c r="D22" s="11"/>
      <c r="E22" s="21"/>
      <c r="F22" s="23"/>
      <c r="G22" s="11"/>
      <c r="H22" s="11"/>
      <c r="I22" s="21"/>
      <c r="J22" s="14"/>
      <c r="K22" s="11"/>
      <c r="L22" s="15"/>
      <c r="M22" s="21"/>
      <c r="N22" s="26"/>
      <c r="O22" s="17"/>
      <c r="P22" s="17"/>
      <c r="Q22" s="17"/>
      <c r="R22" s="15"/>
      <c r="S22" s="41"/>
      <c r="T22" s="25"/>
    </row>
    <row r="23" spans="1:22" s="20" customFormat="1" x14ac:dyDescent="0.25">
      <c r="A23" s="10"/>
      <c r="B23" s="24"/>
      <c r="C23" s="11"/>
      <c r="D23" s="11"/>
      <c r="E23" s="21"/>
      <c r="F23" s="61" t="s">
        <v>116</v>
      </c>
      <c r="G23" s="61"/>
      <c r="H23" s="61"/>
      <c r="I23" s="61"/>
      <c r="J23" s="14"/>
      <c r="K23" s="11"/>
      <c r="L23" s="15"/>
      <c r="M23" s="21"/>
      <c r="N23" s="26"/>
      <c r="O23" s="11"/>
      <c r="P23" s="11"/>
      <c r="Q23" s="17"/>
      <c r="R23" s="19"/>
      <c r="S23"/>
    </row>
    <row r="24" spans="1:22" s="20" customFormat="1" x14ac:dyDescent="0.25">
      <c r="A24" s="43">
        <v>1</v>
      </c>
      <c r="B24" s="45" t="s">
        <v>220</v>
      </c>
      <c r="C24" t="s">
        <v>216</v>
      </c>
      <c r="D24" t="s">
        <v>217</v>
      </c>
      <c r="E24" s="21"/>
      <c r="F24" s="13" t="s">
        <v>214</v>
      </c>
      <c r="G24" t="s">
        <v>215</v>
      </c>
      <c r="H24" s="21"/>
      <c r="I24" s="22"/>
      <c r="J24" s="14"/>
      <c r="K24" s="15"/>
      <c r="L24" s="15"/>
      <c r="M24" s="44">
        <v>45991</v>
      </c>
      <c r="N24" s="28">
        <f>M24+180</f>
        <v>46171</v>
      </c>
      <c r="O24" s="11" t="s">
        <v>218</v>
      </c>
      <c r="P24" s="11" t="s">
        <v>219</v>
      </c>
      <c r="Q24" s="15"/>
      <c r="R24" s="15"/>
      <c r="S24" s="19"/>
      <c r="T24" s="15"/>
      <c r="U24" s="15"/>
    </row>
    <row r="25" spans="1:22" s="20" customFormat="1" x14ac:dyDescent="0.25">
      <c r="A25" s="10">
        <v>2</v>
      </c>
      <c r="B25" s="22" t="s">
        <v>103</v>
      </c>
      <c r="C25" s="11" t="s">
        <v>80</v>
      </c>
      <c r="D25" s="11" t="s">
        <v>81</v>
      </c>
      <c r="E25" s="21"/>
      <c r="F25" s="13" t="s">
        <v>221</v>
      </c>
      <c r="G25" s="11" t="s">
        <v>106</v>
      </c>
      <c r="H25" s="21"/>
      <c r="I25" s="9"/>
      <c r="J25" s="14"/>
      <c r="K25" s="11"/>
      <c r="L25" s="15"/>
      <c r="M25" s="44">
        <v>45991</v>
      </c>
      <c r="N25" s="28">
        <f>M25+90</f>
        <v>46081</v>
      </c>
      <c r="O25" s="11" t="s">
        <v>222</v>
      </c>
      <c r="P25" s="11" t="s">
        <v>223</v>
      </c>
      <c r="Q25" s="17"/>
      <c r="R25" s="19"/>
      <c r="S25"/>
    </row>
    <row r="26" spans="1:22" s="20" customFormat="1" x14ac:dyDescent="0.25">
      <c r="A26" s="10"/>
      <c r="B26" s="22"/>
      <c r="C26" s="11"/>
      <c r="D26" s="11"/>
      <c r="E26" s="21"/>
      <c r="F26" s="21"/>
      <c r="G26" s="11"/>
      <c r="H26" s="27"/>
      <c r="I26" s="9"/>
      <c r="J26" s="14"/>
      <c r="K26" s="11"/>
      <c r="L26" s="15"/>
      <c r="M26" s="28"/>
      <c r="N26" s="26"/>
      <c r="O26" s="11"/>
      <c r="P26" s="11"/>
      <c r="Q26" s="17"/>
      <c r="R26" s="19"/>
      <c r="S26"/>
    </row>
    <row r="27" spans="1:22" s="20" customFormat="1" x14ac:dyDescent="0.25">
      <c r="A27" s="10"/>
      <c r="B27" s="24"/>
      <c r="C27" s="11"/>
      <c r="D27" s="33"/>
      <c r="E27" s="21"/>
      <c r="F27" s="21"/>
      <c r="G27" s="11"/>
      <c r="H27" s="34"/>
      <c r="I27" s="29"/>
      <c r="J27" s="14"/>
      <c r="K27" s="15"/>
      <c r="L27" s="15"/>
      <c r="M27" s="28"/>
      <c r="N27" s="21"/>
      <c r="O27" s="11"/>
      <c r="P27" s="11"/>
      <c r="Q27" s="31"/>
      <c r="R27" s="15"/>
      <c r="S27"/>
      <c r="T27"/>
      <c r="U27"/>
      <c r="V27"/>
    </row>
    <row r="28" spans="1:22" x14ac:dyDescent="0.25">
      <c r="A28" s="10"/>
      <c r="B28" s="22"/>
      <c r="C28" s="11"/>
      <c r="D28" s="11"/>
      <c r="E28" s="35"/>
      <c r="F28" s="62" t="s">
        <v>117</v>
      </c>
      <c r="G28" s="63"/>
      <c r="H28" s="63"/>
      <c r="I28" s="64"/>
      <c r="J28" s="14"/>
      <c r="K28" s="22"/>
      <c r="L28" s="15"/>
      <c r="M28" s="36"/>
      <c r="N28" s="26"/>
      <c r="O28" s="17"/>
      <c r="P28" s="17"/>
      <c r="Q28" s="11"/>
      <c r="R28" s="11"/>
      <c r="T28" s="20"/>
      <c r="U28" s="20"/>
    </row>
    <row r="29" spans="1:22" s="20" customFormat="1" x14ac:dyDescent="0.25">
      <c r="A29" s="43">
        <v>1</v>
      </c>
      <c r="B29" s="21" t="s">
        <v>32</v>
      </c>
      <c r="C29" s="11" t="s">
        <v>89</v>
      </c>
      <c r="D29" s="11" t="s">
        <v>35</v>
      </c>
      <c r="E29" s="12" t="s">
        <v>18</v>
      </c>
      <c r="F29" s="13" t="s">
        <v>118</v>
      </c>
      <c r="G29" s="11" t="s">
        <v>33</v>
      </c>
      <c r="H29" s="11" t="s">
        <v>119</v>
      </c>
      <c r="I29" s="11" t="s">
        <v>120</v>
      </c>
      <c r="J29" s="44" t="s">
        <v>121</v>
      </c>
      <c r="K29" s="15"/>
      <c r="L29" s="15" t="s">
        <v>122</v>
      </c>
      <c r="M29" s="44">
        <v>45899</v>
      </c>
      <c r="N29" s="21">
        <f t="shared" ref="N29:N34" ca="1" si="0">TODAY()-M29</f>
        <v>94</v>
      </c>
      <c r="O29" s="11" t="s">
        <v>123</v>
      </c>
      <c r="P29" s="47" t="s">
        <v>124</v>
      </c>
      <c r="Q29" s="31"/>
      <c r="R29" s="15"/>
      <c r="S29" s="19"/>
      <c r="T29" s="32">
        <v>45778</v>
      </c>
      <c r="U29" s="11"/>
    </row>
    <row r="30" spans="1:22" s="20" customFormat="1" x14ac:dyDescent="0.25">
      <c r="A30" s="43">
        <v>2</v>
      </c>
      <c r="B30" s="45" t="s">
        <v>125</v>
      </c>
      <c r="C30" s="11" t="s">
        <v>126</v>
      </c>
      <c r="D30" s="11" t="s">
        <v>127</v>
      </c>
      <c r="E30" s="12" t="s">
        <v>18</v>
      </c>
      <c r="F30" s="13" t="s">
        <v>128</v>
      </c>
      <c r="G30" s="11" t="s">
        <v>129</v>
      </c>
      <c r="H30" s="11" t="s">
        <v>130</v>
      </c>
      <c r="I30" s="11" t="s">
        <v>131</v>
      </c>
      <c r="J30" s="44" t="s">
        <v>121</v>
      </c>
      <c r="K30" s="15"/>
      <c r="L30" s="15" t="s">
        <v>132</v>
      </c>
      <c r="M30" s="44">
        <v>45860</v>
      </c>
      <c r="N30" s="21">
        <f t="shared" ca="1" si="0"/>
        <v>133</v>
      </c>
      <c r="O30" s="11" t="s">
        <v>133</v>
      </c>
      <c r="P30" s="11" t="s">
        <v>134</v>
      </c>
      <c r="Q30" s="15"/>
      <c r="R30" s="15"/>
      <c r="S30" s="46">
        <f>M30+90</f>
        <v>45950</v>
      </c>
      <c r="T30" s="32">
        <v>45689</v>
      </c>
      <c r="U30" s="11"/>
    </row>
    <row r="31" spans="1:22" s="20" customFormat="1" x14ac:dyDescent="0.25">
      <c r="A31" s="43">
        <v>3</v>
      </c>
      <c r="B31" s="21" t="s">
        <v>137</v>
      </c>
      <c r="C31" s="11" t="s">
        <v>89</v>
      </c>
      <c r="D31" s="11" t="s">
        <v>138</v>
      </c>
      <c r="E31" s="12" t="s">
        <v>18</v>
      </c>
      <c r="F31" s="13" t="s">
        <v>139</v>
      </c>
      <c r="G31" s="11" t="s">
        <v>22</v>
      </c>
      <c r="H31" s="11" t="s">
        <v>140</v>
      </c>
      <c r="I31" s="11" t="s">
        <v>141</v>
      </c>
      <c r="J31" s="44" t="s">
        <v>121</v>
      </c>
      <c r="K31" s="15"/>
      <c r="L31" s="15" t="s">
        <v>142</v>
      </c>
      <c r="M31" s="44">
        <v>45929</v>
      </c>
      <c r="N31" s="21">
        <f t="shared" ca="1" si="0"/>
        <v>64</v>
      </c>
      <c r="O31" s="11" t="s">
        <v>143</v>
      </c>
      <c r="P31" s="47" t="s">
        <v>144</v>
      </c>
      <c r="Q31" s="31"/>
      <c r="R31" s="15"/>
      <c r="S31" s="11"/>
      <c r="T31" s="30">
        <v>45870</v>
      </c>
      <c r="U31" s="15"/>
    </row>
    <row r="32" spans="1:22" s="20" customFormat="1" x14ac:dyDescent="0.25">
      <c r="A32" s="43">
        <v>4</v>
      </c>
      <c r="B32" s="21" t="s">
        <v>21</v>
      </c>
      <c r="C32" s="11" t="s">
        <v>80</v>
      </c>
      <c r="D32" s="11" t="s">
        <v>35</v>
      </c>
      <c r="E32" s="12" t="s">
        <v>18</v>
      </c>
      <c r="F32" s="13" t="s">
        <v>145</v>
      </c>
      <c r="G32" s="11" t="s">
        <v>22</v>
      </c>
      <c r="H32" s="11" t="s">
        <v>146</v>
      </c>
      <c r="I32" s="11" t="s">
        <v>147</v>
      </c>
      <c r="J32" s="44" t="s">
        <v>151</v>
      </c>
      <c r="K32" s="15"/>
      <c r="L32" s="15" t="s">
        <v>148</v>
      </c>
      <c r="M32" s="44">
        <v>45900</v>
      </c>
      <c r="N32" s="21">
        <f t="shared" ca="1" si="0"/>
        <v>93</v>
      </c>
      <c r="O32" s="11" t="s">
        <v>149</v>
      </c>
      <c r="P32" s="47" t="s">
        <v>150</v>
      </c>
      <c r="Q32" s="31"/>
      <c r="R32" s="15"/>
      <c r="S32" s="19"/>
      <c r="T32" s="32">
        <v>45748</v>
      </c>
      <c r="U32" s="11"/>
    </row>
    <row r="33" spans="1:21" s="20" customFormat="1" x14ac:dyDescent="0.25">
      <c r="A33" s="43">
        <v>5</v>
      </c>
      <c r="B33" s="21" t="s">
        <v>137</v>
      </c>
      <c r="C33" s="11" t="s">
        <v>179</v>
      </c>
      <c r="D33" s="11" t="s">
        <v>30</v>
      </c>
      <c r="E33" s="12" t="s">
        <v>18</v>
      </c>
      <c r="F33" s="21" t="s">
        <v>180</v>
      </c>
      <c r="G33" s="11" t="s">
        <v>22</v>
      </c>
      <c r="H33" s="11" t="s">
        <v>181</v>
      </c>
      <c r="I33" s="11" t="s">
        <v>182</v>
      </c>
      <c r="J33" s="44" t="s">
        <v>151</v>
      </c>
      <c r="K33" s="11"/>
      <c r="L33" s="15" t="s">
        <v>183</v>
      </c>
      <c r="M33" s="44">
        <v>45927</v>
      </c>
      <c r="N33" s="21">
        <f t="shared" ca="1" si="0"/>
        <v>66</v>
      </c>
      <c r="O33" s="11" t="s">
        <v>184</v>
      </c>
      <c r="P33" s="47" t="s">
        <v>185</v>
      </c>
      <c r="Q33" s="17"/>
      <c r="R33" s="19"/>
      <c r="S33" s="11"/>
      <c r="T33" s="30">
        <v>45748</v>
      </c>
      <c r="U33" s="15"/>
    </row>
    <row r="34" spans="1:21" s="20" customFormat="1" x14ac:dyDescent="0.25">
      <c r="A34" s="43">
        <v>6</v>
      </c>
      <c r="B34" s="53" t="s">
        <v>186</v>
      </c>
      <c r="C34" s="54" t="s">
        <v>71</v>
      </c>
      <c r="D34" s="54" t="s">
        <v>187</v>
      </c>
      <c r="E34" s="12" t="s">
        <v>18</v>
      </c>
      <c r="F34" s="55" t="s">
        <v>188</v>
      </c>
      <c r="G34" s="54" t="s">
        <v>189</v>
      </c>
      <c r="H34" s="11" t="s">
        <v>190</v>
      </c>
      <c r="I34" s="11" t="s">
        <v>191</v>
      </c>
      <c r="J34" s="44" t="s">
        <v>151</v>
      </c>
      <c r="K34" s="11"/>
      <c r="L34" s="54" t="s">
        <v>192</v>
      </c>
      <c r="M34" s="56">
        <v>45565</v>
      </c>
      <c r="N34" s="21">
        <f t="shared" ca="1" si="0"/>
        <v>428</v>
      </c>
      <c r="O34" s="54" t="s">
        <v>193</v>
      </c>
      <c r="P34" s="54" t="s">
        <v>194</v>
      </c>
      <c r="Q34" s="46"/>
      <c r="R34" s="15"/>
      <c r="S34" s="15"/>
      <c r="T34" s="30">
        <v>45505</v>
      </c>
      <c r="U34" s="15"/>
    </row>
    <row r="35" spans="1:21" x14ac:dyDescent="0.25">
      <c r="F35" s="62" t="s">
        <v>27</v>
      </c>
      <c r="G35" s="63"/>
      <c r="H35" s="63"/>
      <c r="I35" s="64"/>
      <c r="J35" s="37"/>
    </row>
    <row r="36" spans="1:21" s="20" customFormat="1" x14ac:dyDescent="0.25">
      <c r="A36" s="10"/>
      <c r="B36" s="22"/>
      <c r="C36" s="11"/>
      <c r="D36" s="11"/>
      <c r="E36" s="21"/>
      <c r="F36" s="13"/>
      <c r="G36" s="11"/>
      <c r="H36" s="11"/>
      <c r="I36" s="11"/>
      <c r="J36" s="14"/>
      <c r="K36" s="11"/>
      <c r="L36" s="15"/>
      <c r="M36" s="38"/>
      <c r="N36" s="26"/>
      <c r="O36" s="17"/>
      <c r="P36" s="17"/>
      <c r="Q36" s="17"/>
      <c r="R36" s="15"/>
      <c r="S36"/>
    </row>
    <row r="37" spans="1:21" x14ac:dyDescent="0.25">
      <c r="A37" s="10"/>
      <c r="B37" s="22"/>
      <c r="C37" s="11"/>
      <c r="D37" s="11"/>
      <c r="E37" s="21"/>
      <c r="F37" s="13"/>
      <c r="G37" s="11"/>
      <c r="H37" s="11"/>
      <c r="I37" s="22"/>
      <c r="J37" s="11"/>
      <c r="K37" s="11"/>
      <c r="L37" s="11"/>
      <c r="M37" s="11"/>
      <c r="N37" s="26"/>
      <c r="O37" s="17"/>
      <c r="P37" s="17"/>
      <c r="Q37" s="17"/>
      <c r="R37" s="11"/>
      <c r="S37" s="20"/>
      <c r="T37" s="25"/>
    </row>
    <row r="38" spans="1:21" s="20" customFormat="1" x14ac:dyDescent="0.25">
      <c r="A38" s="10"/>
      <c r="B38" s="22"/>
      <c r="C38" s="11"/>
      <c r="D38" s="11"/>
      <c r="E38" s="21"/>
      <c r="F38" s="13"/>
      <c r="G38" s="11"/>
      <c r="H38" s="17"/>
      <c r="I38" s="11"/>
      <c r="J38" s="14"/>
      <c r="K38" s="11"/>
      <c r="L38" s="15"/>
      <c r="M38" s="21"/>
      <c r="N38" s="26"/>
      <c r="O38" s="17"/>
      <c r="P38" s="17"/>
      <c r="Q38" s="17"/>
      <c r="R38" s="15"/>
      <c r="S38"/>
    </row>
    <row r="39" spans="1:21" s="20" customFormat="1" x14ac:dyDescent="0.25">
      <c r="A39" s="10"/>
      <c r="B39" s="11"/>
      <c r="C39" s="11"/>
      <c r="D39" s="11"/>
      <c r="E39" s="21"/>
      <c r="F39" s="13"/>
      <c r="G39" s="11"/>
      <c r="H39" s="11"/>
      <c r="I39" s="11"/>
      <c r="J39" s="14"/>
      <c r="K39" s="11"/>
      <c r="L39" s="15"/>
      <c r="M39" s="21"/>
      <c r="N39" s="26"/>
      <c r="O39" s="17"/>
      <c r="P39" s="17"/>
      <c r="Q39" s="17"/>
      <c r="R39" s="15"/>
      <c r="S39"/>
    </row>
    <row r="40" spans="1:21" x14ac:dyDescent="0.25">
      <c r="A40" s="10"/>
      <c r="B40" s="39"/>
      <c r="C40" s="11"/>
      <c r="D40" s="11"/>
      <c r="E40" s="21"/>
      <c r="F40" s="21"/>
      <c r="G40" s="11"/>
      <c r="H40" s="11"/>
      <c r="I40" s="22"/>
      <c r="J40" s="14"/>
      <c r="K40" s="11"/>
      <c r="L40" s="15"/>
      <c r="M40" s="21"/>
      <c r="N40" s="26"/>
      <c r="O40" s="17"/>
      <c r="P40" s="17"/>
      <c r="Q40" s="11"/>
      <c r="R40" s="11"/>
      <c r="T40" s="25"/>
    </row>
    <row r="41" spans="1:21" s="20" customFormat="1" x14ac:dyDescent="0.25">
      <c r="A41" s="10"/>
      <c r="B41" s="22"/>
      <c r="C41" s="11"/>
      <c r="D41" s="11"/>
      <c r="E41" s="21"/>
      <c r="F41" s="13"/>
      <c r="G41" s="11"/>
      <c r="H41" s="17"/>
      <c r="I41" s="17"/>
      <c r="J41" s="14"/>
      <c r="K41" s="11"/>
      <c r="L41" s="15"/>
      <c r="M41" s="21"/>
      <c r="N41" s="26"/>
      <c r="O41" s="17"/>
      <c r="P41" s="17"/>
      <c r="Q41" s="17"/>
      <c r="R41" s="15"/>
      <c r="S41"/>
    </row>
    <row r="42" spans="1:21" s="20" customFormat="1" x14ac:dyDescent="0.25">
      <c r="A42" s="10"/>
      <c r="B42" s="22"/>
      <c r="C42" s="11"/>
      <c r="D42" s="11"/>
      <c r="E42" s="40"/>
      <c r="F42" s="13"/>
      <c r="G42" s="11"/>
      <c r="H42" s="11"/>
      <c r="I42" s="11"/>
      <c r="J42" s="14"/>
      <c r="K42" s="11"/>
      <c r="L42" s="15"/>
      <c r="M42" s="21"/>
      <c r="N42" s="26"/>
      <c r="O42" s="17"/>
      <c r="P42" s="17"/>
      <c r="Q42" s="17"/>
      <c r="R42" s="15"/>
      <c r="S42"/>
    </row>
    <row r="43" spans="1:21" x14ac:dyDescent="0.25">
      <c r="A43" s="10"/>
      <c r="B43" s="39"/>
      <c r="C43" s="11"/>
      <c r="D43" s="11"/>
      <c r="E43" s="21"/>
      <c r="F43" s="13"/>
      <c r="G43" s="11"/>
      <c r="H43" s="17"/>
      <c r="I43" s="17"/>
      <c r="J43" s="14"/>
      <c r="K43" s="11"/>
      <c r="L43" s="15"/>
      <c r="M43" s="21"/>
      <c r="N43" s="26"/>
      <c r="O43" s="17"/>
      <c r="P43" s="17"/>
      <c r="Q43" s="17"/>
      <c r="R43" s="11"/>
      <c r="T43" s="25"/>
    </row>
  </sheetData>
  <autoFilter ref="A2:V25" xr:uid="{FB0A28EA-0450-4815-9F7B-6B5BC72AE143}"/>
  <mergeCells count="4">
    <mergeCell ref="F1:I1"/>
    <mergeCell ref="F23:I23"/>
    <mergeCell ref="F28:I28"/>
    <mergeCell ref="F35:I35"/>
  </mergeCells>
  <conditionalFormatting sqref="F3">
    <cfRule type="duplicateValues" dxfId="196" priority="134"/>
  </conditionalFormatting>
  <conditionalFormatting sqref="F4">
    <cfRule type="duplicateValues" dxfId="195" priority="125"/>
  </conditionalFormatting>
  <conditionalFormatting sqref="F5">
    <cfRule type="duplicateValues" dxfId="194" priority="131"/>
  </conditionalFormatting>
  <conditionalFormatting sqref="F6">
    <cfRule type="duplicateValues" dxfId="193" priority="128"/>
  </conditionalFormatting>
  <conditionalFormatting sqref="F19">
    <cfRule type="duplicateValues" dxfId="192" priority="1"/>
  </conditionalFormatting>
  <conditionalFormatting sqref="F20:F21">
    <cfRule type="duplicateValues" dxfId="191" priority="654"/>
  </conditionalFormatting>
  <conditionalFormatting sqref="F22">
    <cfRule type="duplicateValues" dxfId="190" priority="144"/>
  </conditionalFormatting>
  <conditionalFormatting sqref="F24">
    <cfRule type="duplicateValues" dxfId="189" priority="10"/>
    <cfRule type="duplicateValues" dxfId="188" priority="11"/>
  </conditionalFormatting>
  <conditionalFormatting sqref="F25:F27">
    <cfRule type="duplicateValues" dxfId="187" priority="629"/>
  </conditionalFormatting>
  <conditionalFormatting sqref="F29:F32">
    <cfRule type="duplicateValues" dxfId="186" priority="671"/>
    <cfRule type="duplicateValues" dxfId="185" priority="672"/>
  </conditionalFormatting>
  <conditionalFormatting sqref="F31">
    <cfRule type="duplicateValues" dxfId="184" priority="59"/>
  </conditionalFormatting>
  <conditionalFormatting sqref="F33">
    <cfRule type="duplicateValues" dxfId="183" priority="18"/>
  </conditionalFormatting>
  <conditionalFormatting sqref="F34">
    <cfRule type="duplicateValues" dxfId="182" priority="22"/>
  </conditionalFormatting>
  <conditionalFormatting sqref="F35:F1048576 F28 F23 F1:F2">
    <cfRule type="duplicateValues" dxfId="181" priority="611"/>
  </conditionalFormatting>
  <conditionalFormatting sqref="F36">
    <cfRule type="duplicateValues" dxfId="180" priority="613"/>
    <cfRule type="duplicateValues" dxfId="179" priority="612"/>
  </conditionalFormatting>
  <conditionalFormatting sqref="F37">
    <cfRule type="duplicateValues" dxfId="178" priority="615"/>
    <cfRule type="duplicateValues" dxfId="177" priority="614"/>
  </conditionalFormatting>
  <conditionalFormatting sqref="F38">
    <cfRule type="duplicateValues" dxfId="176" priority="616"/>
  </conditionalFormatting>
  <conditionalFormatting sqref="F39">
    <cfRule type="duplicateValues" dxfId="175" priority="617"/>
    <cfRule type="duplicateValues" dxfId="174" priority="618"/>
  </conditionalFormatting>
  <conditionalFormatting sqref="F40">
    <cfRule type="duplicateValues" dxfId="173" priority="619"/>
  </conditionalFormatting>
  <conditionalFormatting sqref="F41">
    <cfRule type="duplicateValues" dxfId="172" priority="620"/>
    <cfRule type="duplicateValues" dxfId="171" priority="621"/>
  </conditionalFormatting>
  <conditionalFormatting sqref="F42">
    <cfRule type="duplicateValues" dxfId="170" priority="622"/>
    <cfRule type="duplicateValues" dxfId="169" priority="623"/>
  </conditionalFormatting>
  <conditionalFormatting sqref="F43">
    <cfRule type="duplicateValues" dxfId="168" priority="624"/>
    <cfRule type="duplicateValues" dxfId="167" priority="625"/>
  </conditionalFormatting>
  <conditionalFormatting sqref="F44:F1048576 F2">
    <cfRule type="duplicateValues" dxfId="166" priority="626"/>
  </conditionalFormatting>
  <conditionalFormatting sqref="F44:F1048576 F23 F1:F2 F28 F35">
    <cfRule type="duplicateValues" dxfId="165" priority="627"/>
  </conditionalFormatting>
  <conditionalFormatting sqref="F44:F1048576 F28 F1:F2 F23 F35">
    <cfRule type="duplicateValues" dxfId="164" priority="628"/>
  </conditionalFormatting>
  <conditionalFormatting sqref="M3">
    <cfRule type="duplicateValues" dxfId="163" priority="101"/>
  </conditionalFormatting>
  <conditionalFormatting sqref="M4">
    <cfRule type="duplicateValues" dxfId="162" priority="98"/>
  </conditionalFormatting>
  <conditionalFormatting sqref="M5">
    <cfRule type="duplicateValues" dxfId="161" priority="100"/>
  </conditionalFormatting>
  <conditionalFormatting sqref="M6">
    <cfRule type="duplicateValues" dxfId="160" priority="99"/>
  </conditionalFormatting>
  <conditionalFormatting sqref="M7">
    <cfRule type="duplicateValues" dxfId="159" priority="97"/>
  </conditionalFormatting>
  <conditionalFormatting sqref="M8">
    <cfRule type="duplicateValues" dxfId="158" priority="82"/>
  </conditionalFormatting>
  <conditionalFormatting sqref="M9">
    <cfRule type="duplicateValues" dxfId="157" priority="81"/>
  </conditionalFormatting>
  <conditionalFormatting sqref="M10">
    <cfRule type="duplicateValues" dxfId="156" priority="83"/>
  </conditionalFormatting>
  <conditionalFormatting sqref="M11">
    <cfRule type="duplicateValues" dxfId="155" priority="80"/>
  </conditionalFormatting>
  <conditionalFormatting sqref="M12">
    <cfRule type="duplicateValues" dxfId="154" priority="79"/>
  </conditionalFormatting>
  <conditionalFormatting sqref="M13">
    <cfRule type="duplicateValues" dxfId="153" priority="48"/>
  </conditionalFormatting>
  <conditionalFormatting sqref="M14">
    <cfRule type="duplicateValues" dxfId="152" priority="37"/>
  </conditionalFormatting>
  <conditionalFormatting sqref="M15">
    <cfRule type="duplicateValues" dxfId="151" priority="36"/>
  </conditionalFormatting>
  <conditionalFormatting sqref="M16">
    <cfRule type="duplicateValues" dxfId="150" priority="35"/>
  </conditionalFormatting>
  <conditionalFormatting sqref="M17">
    <cfRule type="duplicateValues" dxfId="149" priority="17"/>
  </conditionalFormatting>
  <conditionalFormatting sqref="M18">
    <cfRule type="duplicateValues" dxfId="148" priority="13"/>
  </conditionalFormatting>
  <conditionalFormatting sqref="M20">
    <cfRule type="duplicateValues" dxfId="147" priority="159"/>
  </conditionalFormatting>
  <conditionalFormatting sqref="M21">
    <cfRule type="duplicateValues" dxfId="146" priority="158"/>
  </conditionalFormatting>
  <conditionalFormatting sqref="M22">
    <cfRule type="duplicateValues" dxfId="145" priority="141"/>
  </conditionalFormatting>
  <conditionalFormatting sqref="O3:P3">
    <cfRule type="duplicateValues" dxfId="144" priority="133"/>
    <cfRule type="duplicateValues" dxfId="143" priority="132"/>
  </conditionalFormatting>
  <conditionalFormatting sqref="O4:P4">
    <cfRule type="duplicateValues" dxfId="142" priority="123"/>
    <cfRule type="duplicateValues" dxfId="141" priority="124"/>
  </conditionalFormatting>
  <conditionalFormatting sqref="O5:P5">
    <cfRule type="duplicateValues" dxfId="140" priority="129"/>
    <cfRule type="duplicateValues" dxfId="139" priority="130"/>
  </conditionalFormatting>
  <conditionalFormatting sqref="O6:P6">
    <cfRule type="duplicateValues" dxfId="138" priority="126"/>
    <cfRule type="duplicateValues" dxfId="137" priority="127"/>
  </conditionalFormatting>
  <conditionalFormatting sqref="O7:P7">
    <cfRule type="duplicateValues" dxfId="136" priority="121"/>
    <cfRule type="duplicateValues" dxfId="135" priority="122"/>
  </conditionalFormatting>
  <conditionalFormatting sqref="O8:P8">
    <cfRule type="duplicateValues" dxfId="134" priority="90"/>
    <cfRule type="duplicateValues" dxfId="133" priority="91"/>
  </conditionalFormatting>
  <conditionalFormatting sqref="O9:P9">
    <cfRule type="duplicateValues" dxfId="132" priority="88"/>
    <cfRule type="duplicateValues" dxfId="131" priority="89"/>
  </conditionalFormatting>
  <conditionalFormatting sqref="O10:P10">
    <cfRule type="duplicateValues" dxfId="130" priority="92"/>
    <cfRule type="duplicateValues" dxfId="129" priority="93"/>
  </conditionalFormatting>
  <conditionalFormatting sqref="O11:P11">
    <cfRule type="duplicateValues" dxfId="128" priority="87"/>
    <cfRule type="duplicateValues" dxfId="127" priority="86"/>
  </conditionalFormatting>
  <conditionalFormatting sqref="O12:P12">
    <cfRule type="duplicateValues" dxfId="126" priority="84"/>
    <cfRule type="duplicateValues" dxfId="125" priority="85"/>
  </conditionalFormatting>
  <conditionalFormatting sqref="O13:P13">
    <cfRule type="duplicateValues" dxfId="124" priority="49"/>
    <cfRule type="duplicateValues" dxfId="123" priority="50"/>
  </conditionalFormatting>
  <conditionalFormatting sqref="O14:P14">
    <cfRule type="duplicateValues" dxfId="122" priority="45"/>
    <cfRule type="duplicateValues" dxfId="121" priority="44"/>
  </conditionalFormatting>
  <conditionalFormatting sqref="O15:P18">
    <cfRule type="duplicateValues" dxfId="120" priority="14"/>
    <cfRule type="duplicateValues" dxfId="119" priority="15"/>
  </conditionalFormatting>
  <conditionalFormatting sqref="O19:P19">
    <cfRule type="duplicateValues" dxfId="118" priority="3"/>
    <cfRule type="duplicateValues" dxfId="117" priority="2"/>
  </conditionalFormatting>
  <conditionalFormatting sqref="O20:P20">
    <cfRule type="duplicateValues" dxfId="116" priority="168"/>
    <cfRule type="duplicateValues" dxfId="115" priority="167"/>
  </conditionalFormatting>
  <conditionalFormatting sqref="O21:P21">
    <cfRule type="duplicateValues" dxfId="114" priority="163"/>
    <cfRule type="duplicateValues" dxfId="113" priority="164"/>
  </conditionalFormatting>
  <conditionalFormatting sqref="O22:P22">
    <cfRule type="duplicateValues" dxfId="112" priority="143"/>
    <cfRule type="duplicateValues" dxfId="111" priority="142"/>
  </conditionalFormatting>
  <conditionalFormatting sqref="O23:P26">
    <cfRule type="duplicateValues" dxfId="110" priority="9"/>
    <cfRule type="duplicateValues" dxfId="109" priority="8"/>
  </conditionalFormatting>
  <conditionalFormatting sqref="O28:P28">
    <cfRule type="duplicateValues" dxfId="108" priority="608"/>
  </conditionalFormatting>
  <conditionalFormatting sqref="O29:P29">
    <cfRule type="duplicateValues" dxfId="107" priority="66"/>
    <cfRule type="duplicateValues" dxfId="106" priority="67"/>
  </conditionalFormatting>
  <conditionalFormatting sqref="O30:P30">
    <cfRule type="duplicateValues" dxfId="105" priority="64"/>
    <cfRule type="duplicateValues" dxfId="104" priority="65"/>
  </conditionalFormatting>
  <conditionalFormatting sqref="O32:P32">
    <cfRule type="duplicateValues" dxfId="103" priority="60"/>
    <cfRule type="duplicateValues" dxfId="102" priority="61"/>
  </conditionalFormatting>
  <conditionalFormatting sqref="O36:P36">
    <cfRule type="duplicateValues" dxfId="101" priority="576"/>
    <cfRule type="duplicateValues" dxfId="100" priority="575"/>
  </conditionalFormatting>
  <conditionalFormatting sqref="O37:P37">
    <cfRule type="duplicateValues" dxfId="99" priority="603"/>
    <cfRule type="duplicateValues" dxfId="98" priority="604"/>
  </conditionalFormatting>
  <conditionalFormatting sqref="O38:P38">
    <cfRule type="duplicateValues" dxfId="97" priority="599"/>
    <cfRule type="duplicateValues" dxfId="96" priority="598"/>
  </conditionalFormatting>
  <conditionalFormatting sqref="O39:P39">
    <cfRule type="duplicateValues" dxfId="95" priority="583"/>
    <cfRule type="duplicateValues" dxfId="94" priority="584"/>
  </conditionalFormatting>
  <conditionalFormatting sqref="O41:P41">
    <cfRule type="duplicateValues" dxfId="93" priority="596"/>
    <cfRule type="duplicateValues" dxfId="92" priority="597"/>
  </conditionalFormatting>
  <conditionalFormatting sqref="O42:P42">
    <cfRule type="duplicateValues" dxfId="91" priority="588"/>
    <cfRule type="duplicateValues" dxfId="90" priority="589"/>
  </conditionalFormatting>
  <conditionalFormatting sqref="O43:P43 O40:P40">
    <cfRule type="duplicateValues" dxfId="89" priority="609"/>
    <cfRule type="duplicateValues" dxfId="88" priority="610"/>
  </conditionalFormatting>
  <conditionalFormatting sqref="Q3">
    <cfRule type="duplicateValues" dxfId="87" priority="119"/>
    <cfRule type="duplicateValues" dxfId="86" priority="117"/>
    <cfRule type="duplicateValues" dxfId="85" priority="118"/>
  </conditionalFormatting>
  <conditionalFormatting sqref="Q4">
    <cfRule type="duplicateValues" dxfId="84" priority="105"/>
    <cfRule type="duplicateValues" dxfId="83" priority="108"/>
    <cfRule type="duplicateValues" dxfId="82" priority="107"/>
    <cfRule type="duplicateValues" dxfId="81" priority="106"/>
  </conditionalFormatting>
  <conditionalFormatting sqref="Q5">
    <cfRule type="duplicateValues" dxfId="80" priority="114"/>
    <cfRule type="duplicateValues" dxfId="79" priority="113"/>
    <cfRule type="duplicateValues" dxfId="78" priority="116"/>
    <cfRule type="duplicateValues" dxfId="77" priority="115"/>
  </conditionalFormatting>
  <conditionalFormatting sqref="Q6">
    <cfRule type="duplicateValues" dxfId="76" priority="109"/>
    <cfRule type="duplicateValues" dxfId="75" priority="112"/>
    <cfRule type="duplicateValues" dxfId="74" priority="110"/>
    <cfRule type="duplicateValues" dxfId="73" priority="111"/>
  </conditionalFormatting>
  <conditionalFormatting sqref="Q7">
    <cfRule type="duplicateValues" dxfId="72" priority="104"/>
    <cfRule type="duplicateValues" dxfId="71" priority="102"/>
    <cfRule type="duplicateValues" dxfId="70" priority="103"/>
  </conditionalFormatting>
  <conditionalFormatting sqref="Q8">
    <cfRule type="duplicateValues" dxfId="69" priority="77"/>
  </conditionalFormatting>
  <conditionalFormatting sqref="Q9">
    <cfRule type="duplicateValues" dxfId="68" priority="74"/>
    <cfRule type="duplicateValues" dxfId="67" priority="75"/>
    <cfRule type="duplicateValues" dxfId="66" priority="73"/>
  </conditionalFormatting>
  <conditionalFormatting sqref="Q10">
    <cfRule type="duplicateValues" dxfId="65" priority="78"/>
  </conditionalFormatting>
  <conditionalFormatting sqref="Q11">
    <cfRule type="duplicateValues" dxfId="64" priority="70"/>
    <cfRule type="duplicateValues" dxfId="63" priority="69"/>
    <cfRule type="duplicateValues" dxfId="62" priority="72"/>
    <cfRule type="duplicateValues" dxfId="61" priority="71"/>
  </conditionalFormatting>
  <conditionalFormatting sqref="Q12">
    <cfRule type="duplicateValues" dxfId="60" priority="68"/>
  </conditionalFormatting>
  <conditionalFormatting sqref="Q13">
    <cfRule type="duplicateValues" dxfId="59" priority="47"/>
  </conditionalFormatting>
  <conditionalFormatting sqref="Q14">
    <cfRule type="duplicateValues" dxfId="58" priority="31"/>
    <cfRule type="duplicateValues" dxfId="57" priority="34"/>
    <cfRule type="duplicateValues" dxfId="56" priority="33"/>
    <cfRule type="duplicateValues" dxfId="55" priority="32"/>
  </conditionalFormatting>
  <conditionalFormatting sqref="Q15">
    <cfRule type="duplicateValues" dxfId="54" priority="29"/>
    <cfRule type="duplicateValues" dxfId="53" priority="30"/>
    <cfRule type="duplicateValues" dxfId="52" priority="28"/>
    <cfRule type="duplicateValues" dxfId="51" priority="27"/>
  </conditionalFormatting>
  <conditionalFormatting sqref="Q16">
    <cfRule type="duplicateValues" dxfId="50" priority="24"/>
    <cfRule type="duplicateValues" dxfId="49" priority="26"/>
    <cfRule type="duplicateValues" dxfId="48" priority="25"/>
    <cfRule type="duplicateValues" dxfId="47" priority="23"/>
  </conditionalFormatting>
  <conditionalFormatting sqref="Q17">
    <cfRule type="duplicateValues" dxfId="46" priority="248"/>
    <cfRule type="duplicateValues" dxfId="45" priority="246"/>
    <cfRule type="duplicateValues" dxfId="44" priority="247"/>
    <cfRule type="duplicateValues" dxfId="43" priority="249"/>
  </conditionalFormatting>
  <conditionalFormatting sqref="Q18">
    <cfRule type="duplicateValues" dxfId="42" priority="5"/>
    <cfRule type="duplicateValues" dxfId="41" priority="6"/>
    <cfRule type="duplicateValues" dxfId="40" priority="7"/>
    <cfRule type="duplicateValues" dxfId="39" priority="4"/>
  </conditionalFormatting>
  <conditionalFormatting sqref="Q20">
    <cfRule type="duplicateValues" dxfId="38" priority="152"/>
    <cfRule type="duplicateValues" dxfId="37" priority="151"/>
    <cfRule type="duplicateValues" dxfId="36" priority="150"/>
    <cfRule type="duplicateValues" dxfId="35" priority="149"/>
  </conditionalFormatting>
  <conditionalFormatting sqref="Q21">
    <cfRule type="duplicateValues" dxfId="34" priority="146"/>
    <cfRule type="duplicateValues" dxfId="33" priority="145"/>
    <cfRule type="duplicateValues" dxfId="32" priority="147"/>
    <cfRule type="duplicateValues" dxfId="31" priority="148"/>
  </conditionalFormatting>
  <conditionalFormatting sqref="Q22">
    <cfRule type="duplicateValues" dxfId="30" priority="140"/>
    <cfRule type="duplicateValues" dxfId="29" priority="139"/>
    <cfRule type="duplicateValues" dxfId="28" priority="138"/>
    <cfRule type="duplicateValues" dxfId="27" priority="137"/>
  </conditionalFormatting>
  <conditionalFormatting sqref="Q23 Q25:Q26">
    <cfRule type="duplicateValues" dxfId="26" priority="651"/>
    <cfRule type="duplicateValues" dxfId="25" priority="652"/>
    <cfRule type="duplicateValues" dxfId="24" priority="653"/>
  </conditionalFormatting>
  <conditionalFormatting sqref="Q33">
    <cfRule type="duplicateValues" dxfId="23" priority="20"/>
    <cfRule type="duplicateValues" dxfId="22" priority="19"/>
    <cfRule type="duplicateValues" dxfId="21" priority="21"/>
  </conditionalFormatting>
  <conditionalFormatting sqref="Q36">
    <cfRule type="duplicateValues" dxfId="20" priority="573"/>
    <cfRule type="duplicateValues" dxfId="19" priority="574"/>
    <cfRule type="duplicateValues" dxfId="18" priority="572"/>
  </conditionalFormatting>
  <conditionalFormatting sqref="Q37">
    <cfRule type="duplicateValues" dxfId="17" priority="602"/>
    <cfRule type="duplicateValues" dxfId="16" priority="601"/>
    <cfRule type="duplicateValues" dxfId="15" priority="600"/>
  </conditionalFormatting>
  <conditionalFormatting sqref="Q38">
    <cfRule type="duplicateValues" dxfId="14" priority="594"/>
    <cfRule type="duplicateValues" dxfId="13" priority="595"/>
    <cfRule type="duplicateValues" dxfId="12" priority="593"/>
  </conditionalFormatting>
  <conditionalFormatting sqref="Q39">
    <cfRule type="duplicateValues" dxfId="11" priority="582"/>
    <cfRule type="duplicateValues" dxfId="10" priority="580"/>
    <cfRule type="duplicateValues" dxfId="9" priority="581"/>
  </conditionalFormatting>
  <conditionalFormatting sqref="Q41">
    <cfRule type="duplicateValues" dxfId="8" priority="591"/>
    <cfRule type="duplicateValues" dxfId="7" priority="590"/>
    <cfRule type="duplicateValues" dxfId="6" priority="592"/>
  </conditionalFormatting>
  <conditionalFormatting sqref="Q42">
    <cfRule type="duplicateValues" dxfId="5" priority="587"/>
    <cfRule type="duplicateValues" dxfId="4" priority="586"/>
    <cfRule type="duplicateValues" dxfId="3" priority="585"/>
  </conditionalFormatting>
  <conditionalFormatting sqref="Q43">
    <cfRule type="duplicateValues" dxfId="2" priority="578"/>
    <cfRule type="duplicateValues" dxfId="1" priority="579"/>
    <cfRule type="duplicateValues" dxfId="0" priority="57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admin5</dc:creator>
  <cp:lastModifiedBy>admin5</cp:lastModifiedBy>
  <dcterms:created xsi:type="dcterms:W3CDTF">2025-10-13T06:23:35Z</dcterms:created>
  <dcterms:modified xsi:type="dcterms:W3CDTF">2025-12-02T11:16:16Z</dcterms:modified>
</cp:coreProperties>
</file>