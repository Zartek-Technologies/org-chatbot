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drve\Desktop files\IDS\2025\"/>
    </mc:Choice>
  </mc:AlternateContent>
  <xr:revisionPtr revIDLastSave="0" documentId="13_ncr:1_{216ABA54-1CFE-4CFF-AD1A-09DA3FF47F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 ADP Achvmnt" sheetId="1" r:id="rId1"/>
    <sheet name="Sheet1" sheetId="3" state="hidden" r:id="rId2"/>
    <sheet name="Wholesale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7" i="1" l="1"/>
  <c r="AA26" i="1"/>
  <c r="F27" i="1"/>
  <c r="D27" i="1"/>
  <c r="B27" i="1"/>
  <c r="Z26" i="1"/>
  <c r="H27" i="1"/>
  <c r="J27" i="1"/>
  <c r="L27" i="1"/>
  <c r="R27" i="1"/>
  <c r="P27" i="1"/>
  <c r="N27" i="1"/>
  <c r="T27" i="1"/>
  <c r="B52" i="1"/>
  <c r="Z6" i="1"/>
  <c r="AA6" i="1"/>
  <c r="AB6" i="1" l="1"/>
  <c r="Z27" i="1"/>
  <c r="AA16" i="1"/>
  <c r="AA17" i="1"/>
  <c r="Z16" i="1"/>
  <c r="Z17" i="1"/>
  <c r="AA7" i="1"/>
  <c r="AA8" i="1"/>
  <c r="AA9" i="1"/>
  <c r="AA10" i="1"/>
  <c r="AA19" i="1"/>
  <c r="AA11" i="1"/>
  <c r="AA12" i="1"/>
  <c r="AA13" i="1"/>
  <c r="AA14" i="1"/>
  <c r="AA15" i="1"/>
  <c r="AA20" i="1"/>
  <c r="AA18" i="1"/>
  <c r="AA21" i="1"/>
  <c r="AA22" i="1"/>
  <c r="AA5" i="1"/>
  <c r="S23" i="1"/>
  <c r="Z7" i="1"/>
  <c r="Z8" i="1"/>
  <c r="Z9" i="1"/>
  <c r="Z10" i="1"/>
  <c r="Z19" i="1"/>
  <c r="Z11" i="1"/>
  <c r="Z12" i="1"/>
  <c r="Z13" i="1"/>
  <c r="Z14" i="1"/>
  <c r="Z15" i="1"/>
  <c r="Z20" i="1"/>
  <c r="Z18" i="1"/>
  <c r="Z21" i="1"/>
  <c r="Z22" i="1"/>
  <c r="Z5" i="1"/>
  <c r="N6" i="3"/>
  <c r="N7" i="3"/>
  <c r="O7" i="3" s="1"/>
  <c r="N8" i="3"/>
  <c r="O8" i="3" s="1"/>
  <c r="N9" i="3"/>
  <c r="N10" i="3"/>
  <c r="N11" i="3"/>
  <c r="O11" i="3" s="1"/>
  <c r="N12" i="3"/>
  <c r="O12" i="3" s="1"/>
  <c r="N13" i="3"/>
  <c r="N14" i="3"/>
  <c r="N15" i="3"/>
  <c r="O15" i="3" s="1"/>
  <c r="N16" i="3"/>
  <c r="O16" i="3" s="1"/>
  <c r="N17" i="3"/>
  <c r="N5" i="3"/>
  <c r="M5" i="3"/>
  <c r="M17" i="3"/>
  <c r="O17" i="3" s="1"/>
  <c r="M16" i="3"/>
  <c r="M15" i="3"/>
  <c r="M14" i="3"/>
  <c r="M13" i="3"/>
  <c r="O13" i="3" s="1"/>
  <c r="M12" i="3"/>
  <c r="M11" i="3"/>
  <c r="M10" i="3"/>
  <c r="M9" i="3"/>
  <c r="O9" i="3" s="1"/>
  <c r="M8" i="3"/>
  <c r="M7" i="3"/>
  <c r="M6" i="3"/>
  <c r="D18" i="3"/>
  <c r="E18" i="3"/>
  <c r="F18" i="3"/>
  <c r="E19" i="3" s="1"/>
  <c r="G18" i="3"/>
  <c r="G19" i="3" s="1"/>
  <c r="H18" i="3"/>
  <c r="I18" i="3"/>
  <c r="J18" i="3"/>
  <c r="C18" i="3"/>
  <c r="AB12" i="1" l="1"/>
  <c r="AB16" i="1"/>
  <c r="AB17" i="1"/>
  <c r="AB18" i="1"/>
  <c r="AB15" i="1"/>
  <c r="O5" i="3"/>
  <c r="O14" i="3"/>
  <c r="O10" i="3"/>
  <c r="O6" i="3"/>
  <c r="M18" i="3"/>
  <c r="C19" i="3"/>
  <c r="I19" i="3"/>
  <c r="N18" i="3"/>
  <c r="M19" i="3" l="1"/>
  <c r="O18" i="3"/>
  <c r="D16" i="2"/>
  <c r="E4" i="2"/>
  <c r="E16" i="2" s="1"/>
  <c r="C16" i="2" l="1"/>
  <c r="B16" i="2"/>
  <c r="X23" i="1"/>
  <c r="V23" i="1"/>
  <c r="T23" i="1"/>
  <c r="R23" i="1"/>
  <c r="R24" i="1" s="1"/>
  <c r="P23" i="1"/>
  <c r="N23" i="1"/>
  <c r="L23" i="1"/>
  <c r="J23" i="1"/>
  <c r="J24" i="1" s="1"/>
  <c r="H23" i="1"/>
  <c r="F23" i="1"/>
  <c r="D23" i="1"/>
  <c r="B23" i="1"/>
  <c r="Y23" i="1"/>
  <c r="W23" i="1"/>
  <c r="U23" i="1"/>
  <c r="Q23" i="1"/>
  <c r="O23" i="1"/>
  <c r="M23" i="1"/>
  <c r="K23" i="1"/>
  <c r="I23" i="1"/>
  <c r="G23" i="1"/>
  <c r="E23" i="1"/>
  <c r="C23" i="1"/>
  <c r="B24" i="1" l="1"/>
  <c r="X24" i="1"/>
  <c r="V24" i="1"/>
  <c r="T24" i="1"/>
  <c r="N24" i="1"/>
  <c r="P24" i="1"/>
  <c r="L24" i="1"/>
  <c r="H24" i="1"/>
  <c r="F24" i="1"/>
  <c r="D24" i="1"/>
  <c r="AB5" i="1"/>
  <c r="AB13" i="1"/>
  <c r="AB19" i="1"/>
  <c r="AB9" i="1"/>
  <c r="AB21" i="1"/>
  <c r="AB14" i="1"/>
  <c r="AB22" i="1"/>
  <c r="AB20" i="1"/>
  <c r="AB11" i="1"/>
  <c r="AB10" i="1"/>
  <c r="AB8" i="1"/>
  <c r="Z23" i="1"/>
  <c r="AA23" i="1" l="1"/>
  <c r="AB23" i="1" s="1"/>
  <c r="AB7" i="1"/>
  <c r="Z24" i="1" l="1"/>
</calcChain>
</file>

<file path=xl/sharedStrings.xml><?xml version="1.0" encoding="utf-8"?>
<sst xmlns="http://schemas.openxmlformats.org/spreadsheetml/2006/main" count="148" uniqueCount="76">
  <si>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</si>
  <si>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</si>
  <si>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</si>
  <si>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</si>
  <si>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</si>
  <si>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</si>
  <si>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</si>
  <si>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</si>
  <si>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</si>
  <si>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</si>
  <si>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</si>
  <si>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</si>
  <si>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</si>
  <si>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% achvt car line</t>
  </si>
  <si>
    <t>Tgt</t>
  </si>
  <si>
    <t>Rep</t>
  </si>
  <si>
    <t>Ach</t>
  </si>
  <si>
    <t>A Class</t>
  </si>
  <si>
    <t>B Class</t>
  </si>
  <si>
    <t>C Class</t>
  </si>
  <si>
    <t>CLA</t>
  </si>
  <si>
    <t>E Class</t>
  </si>
  <si>
    <t>GLC</t>
  </si>
  <si>
    <t>GL / GLS</t>
  </si>
  <si>
    <t>GLA</t>
  </si>
  <si>
    <t>ML / GLE</t>
  </si>
  <si>
    <t>S Class</t>
  </si>
  <si>
    <t>Dream Car</t>
  </si>
  <si>
    <t>AMG cars</t>
  </si>
  <si>
    <t>% achvt</t>
  </si>
  <si>
    <t>Month</t>
  </si>
  <si>
    <t>Target</t>
  </si>
  <si>
    <t>V Class</t>
  </si>
  <si>
    <t>Clsng Stock required</t>
  </si>
  <si>
    <t>Actual</t>
  </si>
  <si>
    <t>Remarks</t>
  </si>
  <si>
    <t>*2020-Wholesale target based on next month SDP</t>
  </si>
  <si>
    <t>Demo+Crtsy</t>
  </si>
  <si>
    <t>Feb SDP - 31</t>
  </si>
  <si>
    <t xml:space="preserve">SDP 2020 - Wholesale Achievment </t>
  </si>
  <si>
    <t>BW2 - Penetration From June'21</t>
  </si>
  <si>
    <t>Oct&amp;Nov</t>
  </si>
  <si>
    <t>GLS</t>
  </si>
  <si>
    <t>GLE</t>
  </si>
  <si>
    <t>EQS</t>
  </si>
  <si>
    <t>GLB</t>
  </si>
  <si>
    <t>EQE</t>
  </si>
  <si>
    <t>EQB</t>
  </si>
  <si>
    <t>TEV/EV</t>
  </si>
  <si>
    <t>Dream Car (includes Maybach)</t>
  </si>
  <si>
    <t>EQA</t>
  </si>
  <si>
    <t>% achvmnt</t>
  </si>
  <si>
    <t xml:space="preserve">SDP 2025 - Retail Achievment </t>
  </si>
  <si>
    <t>Jan - 2 Demo(1 E,1 S) and 2 Courtesy (1 E, 1 S)</t>
  </si>
  <si>
    <t>Feb - 3 Demo(1 C,1 GLC,EQS SUV450), 2 Courtesy(1 GLE,1 EQS SUV450)</t>
  </si>
  <si>
    <t>March - 8 Demo(2 C, 1 GLC, 2 GLE, 2 GLA, 1 E)</t>
  </si>
  <si>
    <t>May - 3 Demo(1 GLA,1 GLC,1 GLS)</t>
  </si>
  <si>
    <t>June - 3 Demo(GLC,C,E) and 2 Courtesy(E,C)</t>
  </si>
  <si>
    <t>C</t>
  </si>
  <si>
    <t>Demo+Courtesy</t>
  </si>
  <si>
    <t>E</t>
  </si>
  <si>
    <t>EQS SUV</t>
  </si>
  <si>
    <t>AMG GLC43C</t>
  </si>
  <si>
    <t>S</t>
  </si>
  <si>
    <t>Nos.</t>
  </si>
  <si>
    <t>*Remuneration target(100%) considered from Q2 onwards</t>
  </si>
  <si>
    <t>July - 4 Demo(GLA,GLC,GLE,GLS)</t>
  </si>
  <si>
    <t>AMG GLE53C</t>
  </si>
  <si>
    <t>Aug - 5 Demo(1 C,2 E, 1 GLC, 1 GLE53C)</t>
  </si>
  <si>
    <t>April - 3 Demo(1 AMG GLC43C, 1 E, 1 GLA), E Class demo revised in May due to technical issue, but number adjusted to April.</t>
  </si>
  <si>
    <t>TST</t>
  </si>
  <si>
    <t>TRT % achvmnt</t>
  </si>
  <si>
    <t>TRT</t>
  </si>
  <si>
    <t>Oct - 2 Demo(1 GLA,1 GLS)</t>
  </si>
  <si>
    <r>
      <t>Sept - 3GLE, 3 C, 3 GLC,1 GLA,2 E, 1 GLS, 1GLC43C.</t>
    </r>
    <r>
      <rPr>
        <sz val="11"/>
        <color rgb="FFFF0000"/>
        <rFont val="Calibri"/>
        <family val="2"/>
        <scheme val="minor"/>
      </rPr>
      <t xml:space="preserve"> 1 E Class SCC cancelled in Sept(Jabir Chalikandy) due to financial issues. Number adjusted in Sept.</t>
    </r>
  </si>
  <si>
    <t>Nov - 2 Demo(1GLE53C, 1 E220d)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</si>
</sst>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2" fillId="0" borderId="0" xfId="0" applyFont="1"/>
    <xf numFmtId="0" fontId="4" fillId="2" borderId="0" xfId="0" applyFont="1" applyFill="1"/>
    <xf numFmtId="0" fontId="0" fillId="0" borderId="12" xfId="0" applyBorder="1"/>
    <xf numFmtId="164" fontId="0" fillId="3" borderId="13" xfId="1" applyNumberFormat="1" applyFont="1" applyFill="1" applyBorder="1"/>
    <xf numFmtId="164" fontId="0" fillId="0" borderId="14" xfId="1" applyNumberFormat="1" applyFont="1" applyBorder="1"/>
    <xf numFmtId="164" fontId="0" fillId="0" borderId="12" xfId="1" applyNumberFormat="1" applyFont="1" applyBorder="1"/>
    <xf numFmtId="164" fontId="0" fillId="3" borderId="15" xfId="1" applyNumberFormat="1" applyFont="1" applyFill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3" borderId="18" xfId="1" applyNumberFormat="1" applyFont="1" applyFill="1" applyBorder="1"/>
    <xf numFmtId="164" fontId="0" fillId="0" borderId="19" xfId="1" applyNumberFormat="1" applyFont="1" applyBorder="1"/>
    <xf numFmtId="164" fontId="0" fillId="0" borderId="20" xfId="1" applyNumberFormat="1" applyFont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0" fontId="0" fillId="0" borderId="17" xfId="0" applyBorder="1"/>
    <xf numFmtId="164" fontId="0" fillId="0" borderId="23" xfId="1" applyNumberFormat="1" applyFont="1" applyBorder="1" applyAlignment="1">
      <alignment horizontal="center"/>
    </xf>
    <xf numFmtId="164" fontId="0" fillId="0" borderId="25" xfId="1" applyNumberFormat="1" applyFont="1" applyBorder="1"/>
    <xf numFmtId="164" fontId="0" fillId="3" borderId="27" xfId="1" applyNumberFormat="1" applyFont="1" applyFill="1" applyBorder="1"/>
    <xf numFmtId="164" fontId="0" fillId="0" borderId="28" xfId="1" applyNumberFormat="1" applyFont="1" applyBorder="1"/>
    <xf numFmtId="164" fontId="0" fillId="0" borderId="26" xfId="1" applyNumberFormat="1" applyFont="1" applyBorder="1"/>
    <xf numFmtId="164" fontId="0" fillId="3" borderId="29" xfId="1" applyNumberFormat="1" applyFont="1" applyFill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0" fillId="0" borderId="30" xfId="1" applyNumberFormat="1" applyFont="1" applyBorder="1" applyAlignment="1">
      <alignment horizontal="center"/>
    </xf>
    <xf numFmtId="164" fontId="2" fillId="3" borderId="32" xfId="1" applyNumberFormat="1" applyFont="1" applyFill="1" applyBorder="1"/>
    <xf numFmtId="164" fontId="2" fillId="0" borderId="33" xfId="1" applyNumberFormat="1" applyFont="1" applyBorder="1"/>
    <xf numFmtId="164" fontId="2" fillId="3" borderId="8" xfId="1" applyNumberFormat="1" applyFont="1" applyFill="1" applyBorder="1"/>
    <xf numFmtId="164" fontId="2" fillId="0" borderId="9" xfId="1" applyNumberFormat="1" applyFont="1" applyBorder="1"/>
    <xf numFmtId="164" fontId="2" fillId="0" borderId="10" xfId="1" applyNumberFormat="1" applyFont="1" applyBorder="1"/>
    <xf numFmtId="164" fontId="2" fillId="3" borderId="34" xfId="1" applyNumberFormat="1" applyFont="1" applyFill="1" applyBorder="1"/>
    <xf numFmtId="164" fontId="2" fillId="0" borderId="35" xfId="1" applyNumberFormat="1" applyFont="1" applyBorder="1"/>
    <xf numFmtId="164" fontId="2" fillId="3" borderId="8" xfId="1" applyNumberFormat="1" applyFont="1" applyFill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164" fontId="0" fillId="3" borderId="8" xfId="1" applyNumberFormat="1" applyFont="1" applyFill="1" applyBorder="1"/>
    <xf numFmtId="164" fontId="0" fillId="0" borderId="11" xfId="0" applyNumberFormat="1" applyBorder="1"/>
    <xf numFmtId="0" fontId="6" fillId="0" borderId="0" xfId="0" applyFont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5" fillId="0" borderId="8" xfId="0" applyFont="1" applyBorder="1"/>
    <xf numFmtId="0" fontId="2" fillId="4" borderId="0" xfId="0" applyFont="1" applyFill="1"/>
    <xf numFmtId="0" fontId="0" fillId="4" borderId="0" xfId="0" applyFill="1"/>
    <xf numFmtId="0" fontId="0" fillId="0" borderId="24" xfId="0" applyBorder="1"/>
    <xf numFmtId="0" fontId="0" fillId="0" borderId="37" xfId="0" applyBorder="1"/>
    <xf numFmtId="164" fontId="0" fillId="0" borderId="38" xfId="1" applyNumberFormat="1" applyFont="1" applyBorder="1"/>
    <xf numFmtId="0" fontId="0" fillId="0" borderId="39" xfId="0" applyBorder="1"/>
    <xf numFmtId="0" fontId="0" fillId="0" borderId="40" xfId="0" applyBorder="1"/>
    <xf numFmtId="0" fontId="0" fillId="0" borderId="7" xfId="0" applyBorder="1"/>
    <xf numFmtId="164" fontId="0" fillId="0" borderId="24" xfId="1" applyNumberFormat="1" applyFont="1" applyBorder="1" applyAlignment="1">
      <alignment horizontal="center"/>
    </xf>
    <xf numFmtId="164" fontId="0" fillId="3" borderId="21" xfId="1" applyNumberFormat="1" applyFont="1" applyFill="1" applyBorder="1" applyAlignment="1">
      <alignment horizontal="center"/>
    </xf>
    <xf numFmtId="164" fontId="0" fillId="3" borderId="24" xfId="1" applyNumberFormat="1" applyFont="1" applyFill="1" applyBorder="1" applyAlignment="1">
      <alignment horizontal="center"/>
    </xf>
    <xf numFmtId="164" fontId="0" fillId="3" borderId="41" xfId="1" applyNumberFormat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2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164" fontId="2" fillId="3" borderId="3" xfId="1" applyNumberFormat="1" applyFont="1" applyFill="1" applyBorder="1"/>
    <xf numFmtId="164" fontId="0" fillId="0" borderId="42" xfId="1" applyNumberFormat="1" applyFont="1" applyBorder="1"/>
    <xf numFmtId="0" fontId="0" fillId="0" borderId="43" xfId="0" applyBorder="1"/>
    <xf numFmtId="0" fontId="0" fillId="0" borderId="26" xfId="0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8" xfId="0" applyBorder="1"/>
    <xf numFmtId="164" fontId="2" fillId="0" borderId="1" xfId="1" applyNumberFormat="1" applyFont="1" applyBorder="1"/>
    <xf numFmtId="0" fontId="0" fillId="0" borderId="9" xfId="0" applyBorder="1" applyAlignment="1">
      <alignment horizontal="center"/>
    </xf>
    <xf numFmtId="0" fontId="0" fillId="0" borderId="11" xfId="0" applyBorder="1"/>
    <xf numFmtId="0" fontId="2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0" fillId="0" borderId="16" xfId="1" applyNumberFormat="1" applyFont="1" applyBorder="1" applyAlignment="1"/>
    <xf numFmtId="0" fontId="5" fillId="0" borderId="17" xfId="0" applyFont="1" applyBorder="1" applyAlignment="1">
      <alignment horizontal="center"/>
    </xf>
    <xf numFmtId="0" fontId="0" fillId="0" borderId="16" xfId="0" applyBorder="1" applyAlignment="1">
      <alignment wrapText="1"/>
    </xf>
    <xf numFmtId="164" fontId="0" fillId="0" borderId="0" xfId="0" applyNumberFormat="1"/>
    <xf numFmtId="0" fontId="0" fillId="0" borderId="24" xfId="0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 wrapText="1" readingOrder="1"/>
    </xf>
    <xf numFmtId="0" fontId="8" fillId="0" borderId="16" xfId="0" applyFont="1" applyBorder="1" applyAlignment="1">
      <alignment horizontal="left" wrapText="1" readingOrder="1"/>
    </xf>
    <xf numFmtId="0" fontId="9" fillId="5" borderId="16" xfId="0" applyFont="1" applyFill="1" applyBorder="1" applyAlignment="1">
      <alignment horizontal="left" wrapText="1" readingOrder="1"/>
    </xf>
    <xf numFmtId="9" fontId="9" fillId="0" borderId="16" xfId="0" applyNumberFormat="1" applyFont="1" applyBorder="1" applyAlignment="1">
      <alignment horizontal="center" wrapText="1" readingOrder="1"/>
    </xf>
    <xf numFmtId="0" fontId="9" fillId="0" borderId="16" xfId="0" applyFont="1" applyBorder="1" applyAlignment="1">
      <alignment horizontal="left" wrapText="1" readingOrder="1"/>
    </xf>
    <xf numFmtId="0" fontId="10" fillId="0" borderId="16" xfId="0" applyFont="1" applyBorder="1" applyAlignment="1">
      <alignment horizontal="left" wrapText="1" readingOrder="1"/>
    </xf>
    <xf numFmtId="0" fontId="11" fillId="0" borderId="16" xfId="0" applyFont="1" applyBorder="1" applyAlignment="1">
      <alignment horizontal="center" wrapText="1" readingOrder="1"/>
    </xf>
    <xf numFmtId="0" fontId="9" fillId="5" borderId="16" xfId="0" applyFont="1" applyFill="1" applyBorder="1" applyAlignment="1">
      <alignment horizontal="center" wrapText="1" readingOrder="1"/>
    </xf>
    <xf numFmtId="0" fontId="8" fillId="6" borderId="16" xfId="0" applyFont="1" applyFill="1" applyBorder="1" applyAlignment="1">
      <alignment horizontal="right" wrapText="1" readingOrder="1"/>
    </xf>
    <xf numFmtId="0" fontId="8" fillId="0" borderId="16" xfId="0" applyFont="1" applyBorder="1" applyAlignment="1">
      <alignment horizontal="right" wrapText="1" readingOrder="1"/>
    </xf>
    <xf numFmtId="0" fontId="8" fillId="0" borderId="17" xfId="0" applyFont="1" applyBorder="1" applyAlignment="1">
      <alignment horizontal="right" wrapText="1" readingOrder="1"/>
    </xf>
    <xf numFmtId="164" fontId="0" fillId="3" borderId="16" xfId="1" applyNumberFormat="1" applyFont="1" applyFill="1" applyBorder="1" applyAlignment="1">
      <alignment horizontal="right"/>
    </xf>
    <xf numFmtId="164" fontId="8" fillId="6" borderId="16" xfId="0" applyNumberFormat="1" applyFont="1" applyFill="1" applyBorder="1" applyAlignment="1">
      <alignment horizontal="right" wrapText="1" readingOrder="1"/>
    </xf>
    <xf numFmtId="0" fontId="9" fillId="0" borderId="16" xfId="0" applyFont="1" applyBorder="1" applyAlignment="1">
      <alignment horizontal="right" wrapText="1" readingOrder="1"/>
    </xf>
    <xf numFmtId="0" fontId="9" fillId="0" borderId="14" xfId="0" applyFont="1" applyBorder="1" applyAlignment="1">
      <alignment horizontal="right" wrapText="1" readingOrder="1"/>
    </xf>
    <xf numFmtId="9" fontId="10" fillId="0" borderId="16" xfId="0" applyNumberFormat="1" applyFont="1" applyBorder="1" applyAlignment="1">
      <alignment horizontal="center" wrapText="1" readingOrder="1"/>
    </xf>
    <xf numFmtId="164" fontId="0" fillId="0" borderId="22" xfId="0" applyNumberFormat="1" applyBorder="1" applyAlignment="1">
      <alignment horizontal="center"/>
    </xf>
    <xf numFmtId="9" fontId="2" fillId="0" borderId="46" xfId="2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0" fillId="7" borderId="17" xfId="0" applyFill="1" applyBorder="1"/>
    <xf numFmtId="0" fontId="0" fillId="7" borderId="26" xfId="0" applyFill="1" applyBorder="1"/>
    <xf numFmtId="0" fontId="5" fillId="0" borderId="0" xfId="0" applyFont="1"/>
    <xf numFmtId="0" fontId="5" fillId="0" borderId="1" xfId="0" applyFont="1" applyBorder="1"/>
    <xf numFmtId="164" fontId="0" fillId="3" borderId="16" xfId="1" applyNumberFormat="1" applyFont="1" applyFill="1" applyBorder="1"/>
    <xf numFmtId="0" fontId="6" fillId="0" borderId="1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5" fillId="3" borderId="16" xfId="2" applyNumberFormat="1" applyFont="1" applyFill="1" applyBorder="1" applyAlignment="1">
      <alignment horizontal="center"/>
    </xf>
    <xf numFmtId="164" fontId="0" fillId="7" borderId="0" xfId="0" applyNumberFormat="1" applyFill="1"/>
    <xf numFmtId="0" fontId="0" fillId="7" borderId="17" xfId="0" applyFill="1" applyBorder="1" applyAlignment="1">
      <alignment wrapText="1"/>
    </xf>
    <xf numFmtId="0" fontId="5" fillId="0" borderId="16" xfId="0" applyFont="1" applyBorder="1"/>
    <xf numFmtId="0" fontId="0" fillId="9" borderId="17" xfId="0" applyFill="1" applyBorder="1"/>
    <xf numFmtId="17" fontId="0" fillId="0" borderId="0" xfId="0" applyNumberFormat="1"/>
    <xf numFmtId="0" fontId="2" fillId="0" borderId="16" xfId="0" applyFont="1" applyBorder="1"/>
    <xf numFmtId="0" fontId="14" fillId="0" borderId="0" xfId="0" applyFont="1"/>
    <xf numFmtId="0" fontId="4" fillId="0" borderId="0" xfId="0" applyFont="1"/>
    <xf numFmtId="0" fontId="14" fillId="0" borderId="0" xfId="0" applyFont="1" applyAlignment="1">
      <alignment horizontal="center"/>
    </xf>
    <xf numFmtId="9" fontId="14" fillId="0" borderId="0" xfId="2" applyFont="1" applyAlignment="1">
      <alignment horizontal="center"/>
    </xf>
    <xf numFmtId="9" fontId="0" fillId="0" borderId="0" xfId="2" applyFont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9" fontId="5" fillId="0" borderId="4" xfId="2" applyFont="1" applyBorder="1" applyAlignment="1">
      <alignment horizontal="center"/>
    </xf>
    <xf numFmtId="9" fontId="5" fillId="0" borderId="5" xfId="2" applyFont="1" applyBorder="1" applyAlignment="1">
      <alignment horizontal="center"/>
    </xf>
    <xf numFmtId="9" fontId="5" fillId="0" borderId="10" xfId="2" applyFont="1" applyBorder="1" applyAlignment="1">
      <alignment horizontal="center"/>
    </xf>
    <xf numFmtId="9" fontId="5" fillId="0" borderId="6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9" fontId="2" fillId="0" borderId="16" xfId="2" applyFont="1" applyBorder="1" applyAlignment="1">
      <alignment horizontal="center"/>
    </xf>
    <xf numFmtId="0" fontId="8" fillId="0" borderId="16" xfId="0" applyFont="1" applyBorder="1" applyAlignment="1">
      <alignment horizontal="center" wrapText="1" readingOrder="1"/>
    </xf>
    <xf numFmtId="9" fontId="10" fillId="0" borderId="16" xfId="0" applyNumberFormat="1" applyFont="1" applyBorder="1" applyAlignment="1">
      <alignment horizontal="center" wrapText="1" readingOrder="1"/>
    </xf>
    <xf numFmtId="0" fontId="7" fillId="0" borderId="16" xfId="0" applyFont="1" applyBorder="1" applyAlignment="1">
      <alignment horizontal="center" wrapText="1" readingOrder="1"/>
    </xf>
    <xf numFmtId="9" fontId="5" fillId="0" borderId="9" xfId="2" applyFont="1" applyBorder="1" applyAlignment="1">
      <alignment horizontal="center"/>
    </xf>
    <xf numFmtId="9" fontId="5" fillId="0" borderId="36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52"/>
  <sheetViews>
    <sheetView tabSelected="1" workbookViewId="0">
      <selection activeCell="V7" sqref="V7"/>
    </sheetView>
  </sheetViews>
  <sheetFormatPr defaultRowHeight="15" x14ac:dyDescent="0.25"/>
  <cols>
    <col min="1" max="1" width="18.28515625" customWidth="1"/>
    <col min="2" max="3" width="6.5703125" bestFit="1" customWidth="1"/>
    <col min="4" max="5" width="5.7109375" customWidth="1"/>
    <col min="6" max="7" width="5.42578125" customWidth="1"/>
    <col min="8" max="9" width="4.7109375" customWidth="1"/>
    <col min="10" max="11" width="5.140625" customWidth="1"/>
    <col min="12" max="13" width="4.7109375" customWidth="1"/>
    <col min="14" max="17" width="5.140625" customWidth="1"/>
    <col min="18" max="18" width="4.85546875" customWidth="1"/>
    <col min="19" max="19" width="6.5703125" customWidth="1"/>
    <col min="20" max="20" width="4.7109375" customWidth="1"/>
    <col min="21" max="21" width="5.7109375" customWidth="1"/>
    <col min="22" max="22" width="4.85546875" style="3" customWidth="1"/>
    <col min="23" max="23" width="6.140625" style="3" customWidth="1"/>
    <col min="24" max="24" width="4.85546875" customWidth="1"/>
    <col min="25" max="25" width="6.7109375" customWidth="1"/>
    <col min="26" max="26" width="6.5703125" bestFit="1" customWidth="1"/>
    <col min="27" max="27" width="6.42578125" style="3" customWidth="1"/>
    <col min="28" max="28" width="9.28515625" style="3" customWidth="1"/>
    <col min="29" max="29" width="12.42578125" bestFit="1" customWidth="1"/>
  </cols>
  <sheetData>
    <row r="1" spans="1:257" ht="18.75" x14ac:dyDescent="0.3">
      <c r="A1" s="134" t="s">
        <v>52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"/>
      <c r="AB1" s="1"/>
    </row>
    <row r="2" spans="1:257" ht="15.75" thickBot="1" x14ac:dyDescent="0.3"/>
    <row r="3" spans="1:257" ht="23.25" customHeight="1" thickBot="1" x14ac:dyDescent="0.3">
      <c r="A3" s="4"/>
      <c r="B3" s="135" t="s">
        <v>0</v>
      </c>
      <c r="C3" s="135"/>
      <c r="D3" s="130" t="s">
        <v>1</v>
      </c>
      <c r="E3" s="131"/>
      <c r="F3" s="136" t="s">
        <v>2</v>
      </c>
      <c r="G3" s="131"/>
      <c r="H3" s="132" t="s">
        <v>3</v>
      </c>
      <c r="I3" s="137"/>
      <c r="J3" s="132" t="s">
        <v>4</v>
      </c>
      <c r="K3" s="137"/>
      <c r="L3" s="130" t="s">
        <v>5</v>
      </c>
      <c r="M3" s="131"/>
      <c r="N3" s="130" t="s">
        <v>6</v>
      </c>
      <c r="O3" s="131"/>
      <c r="P3" s="130" t="s">
        <v>7</v>
      </c>
      <c r="Q3" s="131"/>
      <c r="R3" s="130" t="s">
        <v>8</v>
      </c>
      <c r="S3" s="131"/>
      <c r="T3" s="132" t="s">
        <v>9</v>
      </c>
      <c r="U3" s="137"/>
      <c r="V3" s="132" t="s">
        <v>10</v>
      </c>
      <c r="W3" s="137"/>
      <c r="X3" s="130" t="s">
        <v>11</v>
      </c>
      <c r="Y3" s="131"/>
      <c r="Z3" s="132" t="s">
        <v>12</v>
      </c>
      <c r="AA3" s="133"/>
      <c r="AB3" s="124" t="s">
        <v>13</v>
      </c>
    </row>
    <row r="4" spans="1:257" s="9" customFormat="1" ht="23.25" customHeight="1" thickBot="1" x14ac:dyDescent="0.3">
      <c r="A4" s="5"/>
      <c r="B4" s="6" t="s">
        <v>31</v>
      </c>
      <c r="C4" s="7" t="s">
        <v>34</v>
      </c>
      <c r="D4" s="6" t="s">
        <v>31</v>
      </c>
      <c r="E4" s="7" t="s">
        <v>34</v>
      </c>
      <c r="F4" s="6" t="s">
        <v>31</v>
      </c>
      <c r="G4" s="7" t="s">
        <v>34</v>
      </c>
      <c r="H4" s="6" t="s">
        <v>31</v>
      </c>
      <c r="I4" s="7" t="s">
        <v>34</v>
      </c>
      <c r="J4" s="6" t="s">
        <v>31</v>
      </c>
      <c r="K4" s="7" t="s">
        <v>34</v>
      </c>
      <c r="L4" s="6" t="s">
        <v>31</v>
      </c>
      <c r="M4" s="7" t="s">
        <v>34</v>
      </c>
      <c r="N4" s="6" t="s">
        <v>31</v>
      </c>
      <c r="O4" s="7" t="s">
        <v>34</v>
      </c>
      <c r="P4" s="6" t="s">
        <v>31</v>
      </c>
      <c r="Q4" s="7" t="s">
        <v>34</v>
      </c>
      <c r="R4" s="6" t="s">
        <v>31</v>
      </c>
      <c r="S4" s="7" t="s">
        <v>34</v>
      </c>
      <c r="T4" s="6" t="s">
        <v>31</v>
      </c>
      <c r="U4" s="7" t="s">
        <v>34</v>
      </c>
      <c r="V4" s="6" t="s">
        <v>31</v>
      </c>
      <c r="W4" s="7" t="s">
        <v>34</v>
      </c>
      <c r="X4" s="6" t="s">
        <v>31</v>
      </c>
      <c r="Y4" s="7" t="s">
        <v>34</v>
      </c>
      <c r="Z4" s="6" t="s">
        <v>31</v>
      </c>
      <c r="AA4" s="7" t="s">
        <v>34</v>
      </c>
      <c r="AB4" s="125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</row>
    <row r="5" spans="1:257" ht="23.25" customHeight="1" x14ac:dyDescent="0.25">
      <c r="A5" s="10" t="s">
        <v>17</v>
      </c>
      <c r="B5" s="11">
        <v>1</v>
      </c>
      <c r="C5" s="12">
        <v>1</v>
      </c>
      <c r="D5" s="14">
        <v>1</v>
      </c>
      <c r="E5" s="15"/>
      <c r="F5" s="14">
        <v>1</v>
      </c>
      <c r="G5" s="15">
        <v>1</v>
      </c>
      <c r="H5" s="11">
        <v>2</v>
      </c>
      <c r="I5" s="12">
        <v>1</v>
      </c>
      <c r="J5" s="17">
        <v>1</v>
      </c>
      <c r="K5" s="18"/>
      <c r="L5" s="11">
        <v>1</v>
      </c>
      <c r="M5" s="12"/>
      <c r="N5" s="11">
        <v>1</v>
      </c>
      <c r="O5" s="19"/>
      <c r="P5" s="11">
        <v>1</v>
      </c>
      <c r="Q5" s="13">
        <v>2</v>
      </c>
      <c r="R5" s="11">
        <v>1</v>
      </c>
      <c r="S5" s="13"/>
      <c r="T5" s="11">
        <v>2</v>
      </c>
      <c r="U5" s="12"/>
      <c r="V5" s="57">
        <v>1</v>
      </c>
      <c r="W5" s="21">
        <v>1</v>
      </c>
      <c r="X5" s="11"/>
      <c r="Y5" s="12"/>
      <c r="Z5" s="11">
        <f>B5+D5+F5+H5+J5+L5+N5+P5+R5+T5+V5+X5</f>
        <v>13</v>
      </c>
      <c r="AA5" s="100">
        <f>C5+E5+G5+I5+K5+M5+O5+Q5+S5+U5+W5+Y5</f>
        <v>6</v>
      </c>
      <c r="AB5" s="101">
        <f t="shared" ref="AB5:AB23" si="0">AA5/Z5</f>
        <v>0.46153846153846156</v>
      </c>
    </row>
    <row r="6" spans="1:257" ht="23.25" hidden="1" customHeight="1" x14ac:dyDescent="0.25">
      <c r="A6" s="22" t="s">
        <v>18</v>
      </c>
      <c r="B6" s="14"/>
      <c r="C6" s="15"/>
      <c r="D6" s="14"/>
      <c r="E6" s="15"/>
      <c r="F6" s="14"/>
      <c r="G6" s="15"/>
      <c r="H6" s="14"/>
      <c r="I6" s="15"/>
      <c r="J6" s="14"/>
      <c r="K6" s="15"/>
      <c r="L6" s="14"/>
      <c r="M6" s="15"/>
      <c r="N6" s="14"/>
      <c r="O6" s="23"/>
      <c r="P6" s="14"/>
      <c r="Q6" s="16"/>
      <c r="R6" s="14"/>
      <c r="S6" s="16"/>
      <c r="T6" s="14"/>
      <c r="U6" s="15"/>
      <c r="V6" s="58"/>
      <c r="W6" s="20"/>
      <c r="X6" s="14"/>
      <c r="Y6" s="15"/>
      <c r="Z6" s="11">
        <f t="shared" ref="Z6:Z22" si="1">B6+D6+F6+H6+J6+L6+N6+P6+R6+T6+V6+X6</f>
        <v>0</v>
      </c>
      <c r="AA6" s="100">
        <f t="shared" ref="AA6:AA22" si="2">C6+E6+G6+I6+K6+M6+O6+Q6+S6+U6+W6+Y6</f>
        <v>0</v>
      </c>
      <c r="AB6" s="101" t="e">
        <f t="shared" si="0"/>
        <v>#DIV/0!</v>
      </c>
    </row>
    <row r="7" spans="1:257" ht="23.25" customHeight="1" x14ac:dyDescent="0.25">
      <c r="A7" s="22" t="s">
        <v>19</v>
      </c>
      <c r="B7" s="14">
        <v>4</v>
      </c>
      <c r="C7" s="15">
        <v>3</v>
      </c>
      <c r="D7" s="14">
        <v>3</v>
      </c>
      <c r="E7" s="15">
        <v>5</v>
      </c>
      <c r="F7" s="14">
        <v>2</v>
      </c>
      <c r="G7" s="15">
        <v>9</v>
      </c>
      <c r="H7" s="14">
        <v>1</v>
      </c>
      <c r="I7" s="20">
        <v>2</v>
      </c>
      <c r="J7" s="14">
        <v>1</v>
      </c>
      <c r="K7" s="15">
        <v>1</v>
      </c>
      <c r="L7" s="14">
        <v>2</v>
      </c>
      <c r="M7" s="15">
        <v>4</v>
      </c>
      <c r="N7" s="14">
        <v>2</v>
      </c>
      <c r="O7" s="23">
        <v>4</v>
      </c>
      <c r="P7" s="14">
        <v>3</v>
      </c>
      <c r="Q7" s="16">
        <v>2</v>
      </c>
      <c r="R7" s="14">
        <v>3</v>
      </c>
      <c r="S7" s="16">
        <v>8</v>
      </c>
      <c r="T7" s="14">
        <v>3</v>
      </c>
      <c r="U7" s="15">
        <v>6</v>
      </c>
      <c r="V7" s="58">
        <v>3</v>
      </c>
      <c r="W7" s="56">
        <v>3</v>
      </c>
      <c r="X7" s="14"/>
      <c r="Y7" s="15"/>
      <c r="Z7" s="11">
        <f t="shared" si="1"/>
        <v>27</v>
      </c>
      <c r="AA7" s="100">
        <f t="shared" si="2"/>
        <v>47</v>
      </c>
      <c r="AB7" s="101">
        <f t="shared" si="0"/>
        <v>1.7407407407407407</v>
      </c>
      <c r="AC7" s="81"/>
      <c r="AD7" s="81"/>
    </row>
    <row r="8" spans="1:257" ht="23.25" customHeight="1" x14ac:dyDescent="0.25">
      <c r="A8" s="22" t="s">
        <v>20</v>
      </c>
      <c r="B8" s="14"/>
      <c r="C8" s="15"/>
      <c r="D8" s="14"/>
      <c r="E8" s="15"/>
      <c r="F8" s="14"/>
      <c r="G8" s="15"/>
      <c r="H8" s="14"/>
      <c r="I8" s="15"/>
      <c r="J8" s="14"/>
      <c r="K8" s="15"/>
      <c r="L8" s="14"/>
      <c r="M8" s="15"/>
      <c r="N8" s="14"/>
      <c r="O8" s="23"/>
      <c r="P8" s="14"/>
      <c r="Q8" s="16"/>
      <c r="R8" s="14"/>
      <c r="S8" s="16"/>
      <c r="T8" s="14"/>
      <c r="U8" s="15"/>
      <c r="V8" s="58"/>
      <c r="W8" s="56"/>
      <c r="X8" s="14"/>
      <c r="Y8" s="15"/>
      <c r="Z8" s="11">
        <f t="shared" si="1"/>
        <v>0</v>
      </c>
      <c r="AA8" s="100">
        <f t="shared" si="2"/>
        <v>0</v>
      </c>
      <c r="AB8" s="101" t="e">
        <f t="shared" si="0"/>
        <v>#DIV/0!</v>
      </c>
      <c r="AC8" s="81"/>
      <c r="AD8" s="81"/>
    </row>
    <row r="9" spans="1:257" ht="23.25" customHeight="1" x14ac:dyDescent="0.25">
      <c r="A9" s="22" t="s">
        <v>21</v>
      </c>
      <c r="B9" s="14">
        <v>4</v>
      </c>
      <c r="C9" s="15">
        <v>4</v>
      </c>
      <c r="D9" s="14">
        <v>4</v>
      </c>
      <c r="E9" s="15">
        <v>5</v>
      </c>
      <c r="F9" s="14">
        <v>4</v>
      </c>
      <c r="G9" s="15">
        <v>8</v>
      </c>
      <c r="H9" s="14">
        <v>3</v>
      </c>
      <c r="I9" s="15">
        <v>5</v>
      </c>
      <c r="J9" s="14">
        <v>3</v>
      </c>
      <c r="K9" s="15">
        <v>2</v>
      </c>
      <c r="L9" s="14">
        <v>3</v>
      </c>
      <c r="M9" s="15">
        <v>5</v>
      </c>
      <c r="N9" s="14">
        <v>6</v>
      </c>
      <c r="O9" s="23">
        <v>4</v>
      </c>
      <c r="P9" s="14">
        <v>4</v>
      </c>
      <c r="Q9" s="16">
        <v>5</v>
      </c>
      <c r="R9" s="14">
        <v>7</v>
      </c>
      <c r="S9" s="16">
        <v>5</v>
      </c>
      <c r="T9" s="14">
        <v>4</v>
      </c>
      <c r="U9" s="15">
        <v>6</v>
      </c>
      <c r="V9" s="58">
        <v>3</v>
      </c>
      <c r="W9" s="56">
        <v>4</v>
      </c>
      <c r="X9" s="14"/>
      <c r="Y9" s="15"/>
      <c r="Z9" s="11">
        <f t="shared" si="1"/>
        <v>45</v>
      </c>
      <c r="AA9" s="100">
        <f t="shared" si="2"/>
        <v>53</v>
      </c>
      <c r="AB9" s="101">
        <f t="shared" si="0"/>
        <v>1.1777777777777778</v>
      </c>
      <c r="AC9" s="81"/>
      <c r="AD9" s="81"/>
    </row>
    <row r="10" spans="1:257" ht="23.25" customHeight="1" x14ac:dyDescent="0.25">
      <c r="A10" s="22" t="s">
        <v>22</v>
      </c>
      <c r="B10" s="14">
        <v>4</v>
      </c>
      <c r="C10" s="15">
        <v>2</v>
      </c>
      <c r="D10" s="14">
        <v>4</v>
      </c>
      <c r="E10" s="15">
        <v>2</v>
      </c>
      <c r="F10" s="14">
        <v>6</v>
      </c>
      <c r="G10" s="15">
        <v>6</v>
      </c>
      <c r="H10" s="14">
        <v>2</v>
      </c>
      <c r="I10" s="15">
        <v>1</v>
      </c>
      <c r="J10" s="14">
        <v>2</v>
      </c>
      <c r="K10" s="15">
        <v>6</v>
      </c>
      <c r="L10" s="14">
        <v>2</v>
      </c>
      <c r="M10" s="15">
        <v>3</v>
      </c>
      <c r="N10" s="14">
        <v>4</v>
      </c>
      <c r="O10" s="23">
        <v>7</v>
      </c>
      <c r="P10" s="14">
        <v>5</v>
      </c>
      <c r="Q10" s="16">
        <v>4</v>
      </c>
      <c r="R10" s="14">
        <v>5</v>
      </c>
      <c r="S10" s="16">
        <v>10</v>
      </c>
      <c r="T10" s="14">
        <v>3</v>
      </c>
      <c r="U10" s="15">
        <v>6</v>
      </c>
      <c r="V10" s="58">
        <v>2</v>
      </c>
      <c r="W10" s="56">
        <v>2</v>
      </c>
      <c r="X10" s="14"/>
      <c r="Y10" s="15"/>
      <c r="Z10" s="11">
        <f t="shared" si="1"/>
        <v>39</v>
      </c>
      <c r="AA10" s="100">
        <f t="shared" si="2"/>
        <v>49</v>
      </c>
      <c r="AB10" s="101">
        <f t="shared" si="0"/>
        <v>1.2564102564102564</v>
      </c>
      <c r="AC10" s="81"/>
      <c r="AD10" s="81"/>
    </row>
    <row r="11" spans="1:257" ht="23.25" customHeight="1" x14ac:dyDescent="0.25">
      <c r="A11" s="22" t="s">
        <v>24</v>
      </c>
      <c r="B11" s="14">
        <v>3</v>
      </c>
      <c r="C11" s="15">
        <v>3</v>
      </c>
      <c r="D11" s="14">
        <v>3</v>
      </c>
      <c r="E11" s="15"/>
      <c r="F11" s="14">
        <v>7</v>
      </c>
      <c r="G11" s="15">
        <v>4</v>
      </c>
      <c r="H11" s="14">
        <v>1</v>
      </c>
      <c r="I11" s="15">
        <v>3</v>
      </c>
      <c r="J11" s="14">
        <v>2</v>
      </c>
      <c r="K11" s="15">
        <v>6</v>
      </c>
      <c r="L11" s="14">
        <v>1</v>
      </c>
      <c r="M11" s="15">
        <v>3</v>
      </c>
      <c r="N11" s="14">
        <v>2</v>
      </c>
      <c r="O11" s="23">
        <v>1</v>
      </c>
      <c r="P11" s="14">
        <v>4</v>
      </c>
      <c r="Q11" s="16">
        <v>3</v>
      </c>
      <c r="R11" s="14">
        <v>3</v>
      </c>
      <c r="S11" s="16">
        <v>4</v>
      </c>
      <c r="T11" s="14">
        <v>4</v>
      </c>
      <c r="U11" s="15">
        <v>1</v>
      </c>
      <c r="V11" s="58">
        <v>2</v>
      </c>
      <c r="W11" s="56">
        <v>3</v>
      </c>
      <c r="X11" s="14"/>
      <c r="Y11" s="15"/>
      <c r="Z11" s="11">
        <f t="shared" si="1"/>
        <v>32</v>
      </c>
      <c r="AA11" s="100">
        <f t="shared" si="2"/>
        <v>31</v>
      </c>
      <c r="AB11" s="101">
        <f t="shared" si="0"/>
        <v>0.96875</v>
      </c>
      <c r="AC11" s="81"/>
      <c r="AD11" s="81"/>
    </row>
    <row r="12" spans="1:257" ht="23.25" hidden="1" customHeight="1" x14ac:dyDescent="0.25">
      <c r="A12" s="22" t="s">
        <v>45</v>
      </c>
      <c r="B12" s="14"/>
      <c r="C12" s="15"/>
      <c r="D12" s="14"/>
      <c r="E12" s="15"/>
      <c r="F12" s="14"/>
      <c r="G12" s="15"/>
      <c r="H12" s="14"/>
      <c r="I12" s="15"/>
      <c r="J12" s="14"/>
      <c r="K12" s="15"/>
      <c r="L12" s="14"/>
      <c r="M12" s="15"/>
      <c r="N12" s="14"/>
      <c r="O12" s="23"/>
      <c r="P12" s="14"/>
      <c r="Q12" s="16"/>
      <c r="R12" s="14"/>
      <c r="S12" s="16"/>
      <c r="T12" s="14"/>
      <c r="U12" s="15"/>
      <c r="V12" s="58"/>
      <c r="W12" s="56"/>
      <c r="X12" s="14"/>
      <c r="Y12" s="15"/>
      <c r="Z12" s="11">
        <f t="shared" si="1"/>
        <v>0</v>
      </c>
      <c r="AA12" s="100">
        <f t="shared" si="2"/>
        <v>0</v>
      </c>
      <c r="AB12" s="101" t="e">
        <f t="shared" si="0"/>
        <v>#DIV/0!</v>
      </c>
      <c r="AC12" s="81"/>
      <c r="AD12" s="81"/>
    </row>
    <row r="13" spans="1:257" ht="23.25" customHeight="1" x14ac:dyDescent="0.25">
      <c r="A13" s="22" t="s">
        <v>43</v>
      </c>
      <c r="B13" s="14">
        <v>4</v>
      </c>
      <c r="C13" s="15">
        <v>7</v>
      </c>
      <c r="D13" s="14">
        <v>4</v>
      </c>
      <c r="E13" s="15">
        <v>6</v>
      </c>
      <c r="F13" s="14">
        <v>3</v>
      </c>
      <c r="G13" s="15">
        <v>5</v>
      </c>
      <c r="H13" s="14">
        <v>2</v>
      </c>
      <c r="I13" s="15">
        <v>2</v>
      </c>
      <c r="J13" s="14">
        <v>2</v>
      </c>
      <c r="K13" s="15">
        <v>3</v>
      </c>
      <c r="L13" s="14">
        <v>3</v>
      </c>
      <c r="M13" s="15">
        <v>2</v>
      </c>
      <c r="N13" s="14">
        <v>4</v>
      </c>
      <c r="O13" s="23">
        <v>7</v>
      </c>
      <c r="P13" s="14">
        <v>5</v>
      </c>
      <c r="Q13" s="16">
        <v>4</v>
      </c>
      <c r="R13" s="14">
        <v>6</v>
      </c>
      <c r="S13" s="16">
        <v>6</v>
      </c>
      <c r="T13" s="14">
        <v>4</v>
      </c>
      <c r="U13" s="15">
        <v>5</v>
      </c>
      <c r="V13" s="58">
        <v>3</v>
      </c>
      <c r="W13" s="56">
        <v>3</v>
      </c>
      <c r="X13" s="14"/>
      <c r="Y13" s="15"/>
      <c r="Z13" s="11">
        <f t="shared" si="1"/>
        <v>40</v>
      </c>
      <c r="AA13" s="100">
        <f t="shared" si="2"/>
        <v>50</v>
      </c>
      <c r="AB13" s="101">
        <f t="shared" si="0"/>
        <v>1.25</v>
      </c>
      <c r="AC13" s="81"/>
      <c r="AD13" s="81"/>
    </row>
    <row r="14" spans="1:257" ht="23.25" hidden="1" customHeight="1" x14ac:dyDescent="0.25">
      <c r="A14" s="22" t="s">
        <v>32</v>
      </c>
      <c r="B14" s="14"/>
      <c r="C14" s="15"/>
      <c r="D14" s="14"/>
      <c r="E14" s="15"/>
      <c r="F14" s="14"/>
      <c r="G14" s="15"/>
      <c r="H14" s="14"/>
      <c r="I14" s="15"/>
      <c r="J14" s="14"/>
      <c r="K14" s="15"/>
      <c r="L14" s="14"/>
      <c r="M14" s="15"/>
      <c r="N14" s="14"/>
      <c r="O14" s="23"/>
      <c r="P14" s="14"/>
      <c r="Q14" s="16"/>
      <c r="R14" s="14"/>
      <c r="S14" s="16"/>
      <c r="T14" s="14"/>
      <c r="U14" s="15"/>
      <c r="V14" s="58"/>
      <c r="W14" s="56"/>
      <c r="X14" s="14"/>
      <c r="Y14" s="15"/>
      <c r="Z14" s="11">
        <f t="shared" si="1"/>
        <v>0</v>
      </c>
      <c r="AA14" s="100">
        <f t="shared" si="2"/>
        <v>0</v>
      </c>
      <c r="AB14" s="101" t="e">
        <f t="shared" si="0"/>
        <v>#DIV/0!</v>
      </c>
      <c r="AC14" s="81"/>
      <c r="AD14" s="81"/>
    </row>
    <row r="15" spans="1:257" ht="23.25" customHeight="1" x14ac:dyDescent="0.25">
      <c r="A15" s="114" t="s">
        <v>47</v>
      </c>
      <c r="B15" s="14"/>
      <c r="C15" s="15"/>
      <c r="D15" s="14">
        <v>1</v>
      </c>
      <c r="E15" s="15">
        <v>1</v>
      </c>
      <c r="F15" s="14"/>
      <c r="G15" s="15">
        <v>3</v>
      </c>
      <c r="H15" s="14">
        <v>1</v>
      </c>
      <c r="I15" s="15">
        <v>1</v>
      </c>
      <c r="J15" s="14">
        <v>2</v>
      </c>
      <c r="K15" s="15"/>
      <c r="L15" s="14"/>
      <c r="M15" s="15"/>
      <c r="N15" s="14"/>
      <c r="O15" s="23">
        <v>1</v>
      </c>
      <c r="P15" s="14"/>
      <c r="Q15" s="16">
        <v>2</v>
      </c>
      <c r="R15" s="14"/>
      <c r="S15" s="16"/>
      <c r="T15" s="14">
        <v>1</v>
      </c>
      <c r="U15" s="15"/>
      <c r="V15" s="58">
        <v>1</v>
      </c>
      <c r="W15" s="56"/>
      <c r="X15" s="14"/>
      <c r="Y15" s="15"/>
      <c r="Z15" s="11">
        <f t="shared" si="1"/>
        <v>6</v>
      </c>
      <c r="AA15" s="100">
        <f t="shared" si="2"/>
        <v>8</v>
      </c>
      <c r="AB15" s="101">
        <f t="shared" si="0"/>
        <v>1.3333333333333333</v>
      </c>
      <c r="AC15" s="111" t="s">
        <v>48</v>
      </c>
      <c r="AD15" s="81"/>
    </row>
    <row r="16" spans="1:257" ht="23.25" customHeight="1" x14ac:dyDescent="0.25">
      <c r="A16" s="114" t="s">
        <v>50</v>
      </c>
      <c r="B16" s="14">
        <v>1</v>
      </c>
      <c r="C16" s="15">
        <v>2</v>
      </c>
      <c r="D16" s="14">
        <v>1</v>
      </c>
      <c r="E16" s="15"/>
      <c r="F16" s="14">
        <v>1</v>
      </c>
      <c r="G16" s="15">
        <v>1</v>
      </c>
      <c r="H16" s="14"/>
      <c r="I16" s="15"/>
      <c r="J16" s="14"/>
      <c r="K16" s="15"/>
      <c r="L16" s="14">
        <v>1</v>
      </c>
      <c r="M16" s="15"/>
      <c r="N16" s="14"/>
      <c r="O16" s="23"/>
      <c r="P16" s="14"/>
      <c r="Q16" s="16">
        <v>1</v>
      </c>
      <c r="R16" s="14"/>
      <c r="S16" s="16"/>
      <c r="T16" s="14"/>
      <c r="U16" s="15"/>
      <c r="V16" s="58"/>
      <c r="W16" s="56"/>
      <c r="X16" s="14"/>
      <c r="Y16" s="15"/>
      <c r="Z16" s="11">
        <f t="shared" si="1"/>
        <v>4</v>
      </c>
      <c r="AA16" s="100">
        <f t="shared" si="2"/>
        <v>4</v>
      </c>
      <c r="AB16" s="101">
        <f t="shared" si="0"/>
        <v>1</v>
      </c>
      <c r="AC16" s="111"/>
      <c r="AD16" s="81"/>
    </row>
    <row r="17" spans="1:30" ht="23.25" customHeight="1" x14ac:dyDescent="0.25">
      <c r="A17" s="114" t="s">
        <v>46</v>
      </c>
      <c r="B17" s="14"/>
      <c r="C17" s="15"/>
      <c r="D17" s="14"/>
      <c r="E17" s="15"/>
      <c r="F17" s="14"/>
      <c r="G17" s="15"/>
      <c r="H17" s="14"/>
      <c r="I17" s="15"/>
      <c r="J17" s="14"/>
      <c r="K17" s="15"/>
      <c r="L17" s="14"/>
      <c r="M17" s="15"/>
      <c r="N17" s="14"/>
      <c r="O17" s="23"/>
      <c r="P17" s="14"/>
      <c r="Q17" s="16"/>
      <c r="R17" s="14"/>
      <c r="S17" s="16"/>
      <c r="T17" s="14"/>
      <c r="U17" s="15"/>
      <c r="V17" s="58"/>
      <c r="W17" s="56"/>
      <c r="X17" s="14"/>
      <c r="Y17" s="15"/>
      <c r="Z17" s="11">
        <f t="shared" si="1"/>
        <v>0</v>
      </c>
      <c r="AA17" s="100">
        <f t="shared" si="2"/>
        <v>0</v>
      </c>
      <c r="AB17" s="101" t="e">
        <f t="shared" si="0"/>
        <v>#DIV/0!</v>
      </c>
      <c r="AC17" s="81"/>
      <c r="AD17" s="81"/>
    </row>
    <row r="18" spans="1:30" ht="23.25" customHeight="1" x14ac:dyDescent="0.25">
      <c r="A18" s="114" t="s">
        <v>44</v>
      </c>
      <c r="B18" s="14">
        <v>1</v>
      </c>
      <c r="C18" s="15"/>
      <c r="D18" s="14">
        <v>2</v>
      </c>
      <c r="E18" s="15">
        <v>2</v>
      </c>
      <c r="F18" s="14">
        <v>4</v>
      </c>
      <c r="G18" s="15">
        <v>2</v>
      </c>
      <c r="H18" s="14">
        <v>3</v>
      </c>
      <c r="I18" s="15"/>
      <c r="J18" s="14">
        <v>3</v>
      </c>
      <c r="K18" s="15"/>
      <c r="L18" s="14">
        <v>2</v>
      </c>
      <c r="M18" s="15"/>
      <c r="N18" s="14">
        <v>1</v>
      </c>
      <c r="O18" s="23"/>
      <c r="P18" s="14">
        <v>3</v>
      </c>
      <c r="Q18" s="16"/>
      <c r="R18" s="14">
        <v>3</v>
      </c>
      <c r="S18" s="16">
        <v>1</v>
      </c>
      <c r="T18" s="14">
        <v>3</v>
      </c>
      <c r="U18" s="15"/>
      <c r="V18" s="58">
        <v>2</v>
      </c>
      <c r="W18" s="56"/>
      <c r="X18" s="14"/>
      <c r="Y18" s="15"/>
      <c r="Z18" s="11">
        <f>B18+D18+F18+H18+J18+L18+N18+P18+R18+T18+V18+X18</f>
        <v>27</v>
      </c>
      <c r="AA18" s="100">
        <f>C18+E18+G18+I18+K18+M18+O18+Q18+S18+U18+W18+Y18</f>
        <v>5</v>
      </c>
      <c r="AB18" s="101">
        <f>AA18/Z18</f>
        <v>0.18518518518518517</v>
      </c>
      <c r="AC18" s="81"/>
      <c r="AD18" s="81"/>
    </row>
    <row r="19" spans="1:30" ht="23.25" customHeight="1" x14ac:dyDescent="0.25">
      <c r="A19" s="103" t="s">
        <v>42</v>
      </c>
      <c r="B19" s="14">
        <v>5</v>
      </c>
      <c r="C19" s="15">
        <v>2</v>
      </c>
      <c r="D19" s="14">
        <v>5</v>
      </c>
      <c r="E19" s="15">
        <v>1</v>
      </c>
      <c r="F19" s="14">
        <v>5</v>
      </c>
      <c r="G19" s="15">
        <v>4</v>
      </c>
      <c r="H19" s="14">
        <v>2</v>
      </c>
      <c r="I19" s="15">
        <v>4</v>
      </c>
      <c r="J19" s="14">
        <v>2</v>
      </c>
      <c r="K19" s="15">
        <v>3</v>
      </c>
      <c r="L19" s="14">
        <v>4</v>
      </c>
      <c r="M19" s="15">
        <v>5</v>
      </c>
      <c r="N19" s="14">
        <v>4</v>
      </c>
      <c r="O19" s="23">
        <v>5</v>
      </c>
      <c r="P19" s="14">
        <v>5</v>
      </c>
      <c r="Q19" s="16">
        <v>3</v>
      </c>
      <c r="R19" s="14">
        <v>5</v>
      </c>
      <c r="S19" s="16">
        <v>2</v>
      </c>
      <c r="T19" s="14">
        <v>6</v>
      </c>
      <c r="U19" s="15">
        <v>6</v>
      </c>
      <c r="V19" s="58">
        <v>4</v>
      </c>
      <c r="W19" s="56">
        <v>2</v>
      </c>
      <c r="X19" s="14"/>
      <c r="Y19" s="15"/>
      <c r="Z19" s="11">
        <f>B19+D19+F19+H19+J19+L19+N19+P19+R19+T19+V19+X19</f>
        <v>47</v>
      </c>
      <c r="AA19" s="100">
        <f>C19+E19+G19+I19+K19+M19+O19+Q19+S19+U19+W19+Y19</f>
        <v>37</v>
      </c>
      <c r="AB19" s="101">
        <f>AA19/Z19</f>
        <v>0.78723404255319152</v>
      </c>
      <c r="AC19" s="81"/>
      <c r="AD19" s="81"/>
    </row>
    <row r="20" spans="1:30" ht="23.25" customHeight="1" x14ac:dyDescent="0.25">
      <c r="A20" s="103" t="s">
        <v>26</v>
      </c>
      <c r="B20" s="14">
        <v>1</v>
      </c>
      <c r="C20" s="15">
        <v>2</v>
      </c>
      <c r="D20" s="14"/>
      <c r="E20" s="15"/>
      <c r="F20" s="14">
        <v>1</v>
      </c>
      <c r="G20" s="15"/>
      <c r="H20" s="14"/>
      <c r="I20" s="15"/>
      <c r="J20" s="14"/>
      <c r="K20" s="15"/>
      <c r="L20" s="14"/>
      <c r="M20" s="15"/>
      <c r="N20" s="14">
        <v>1</v>
      </c>
      <c r="O20" s="23"/>
      <c r="P20" s="14"/>
      <c r="Q20" s="16"/>
      <c r="R20" s="14">
        <v>2</v>
      </c>
      <c r="S20" s="16"/>
      <c r="T20" s="14">
        <v>2</v>
      </c>
      <c r="U20" s="15"/>
      <c r="V20" s="58">
        <v>2</v>
      </c>
      <c r="W20" s="56"/>
      <c r="X20" s="14"/>
      <c r="Y20" s="15"/>
      <c r="Z20" s="11">
        <f t="shared" si="1"/>
        <v>9</v>
      </c>
      <c r="AA20" s="100">
        <f t="shared" si="2"/>
        <v>2</v>
      </c>
      <c r="AB20" s="101">
        <f t="shared" si="0"/>
        <v>0.22222222222222221</v>
      </c>
      <c r="AC20" s="81"/>
      <c r="AD20" s="81"/>
    </row>
    <row r="21" spans="1:30" ht="31.5" customHeight="1" x14ac:dyDescent="0.25">
      <c r="A21" s="112" t="s">
        <v>49</v>
      </c>
      <c r="B21" s="14"/>
      <c r="C21" s="15">
        <v>1</v>
      </c>
      <c r="D21" s="14"/>
      <c r="E21" s="15"/>
      <c r="F21" s="14">
        <v>2</v>
      </c>
      <c r="G21" s="15">
        <v>1</v>
      </c>
      <c r="H21" s="14"/>
      <c r="I21" s="15">
        <v>1</v>
      </c>
      <c r="J21" s="14"/>
      <c r="K21" s="15"/>
      <c r="L21" s="14">
        <v>1</v>
      </c>
      <c r="M21" s="15"/>
      <c r="N21" s="14">
        <v>1</v>
      </c>
      <c r="O21" s="16">
        <v>2</v>
      </c>
      <c r="P21" s="14">
        <v>1</v>
      </c>
      <c r="Q21" s="16">
        <v>1</v>
      </c>
      <c r="R21" s="14">
        <v>1</v>
      </c>
      <c r="S21" s="16"/>
      <c r="T21" s="14"/>
      <c r="U21" s="15">
        <v>1</v>
      </c>
      <c r="V21" s="58"/>
      <c r="W21" s="56"/>
      <c r="X21" s="14"/>
      <c r="Y21" s="15"/>
      <c r="Z21" s="11">
        <f t="shared" si="1"/>
        <v>6</v>
      </c>
      <c r="AA21" s="100">
        <f t="shared" si="2"/>
        <v>7</v>
      </c>
      <c r="AB21" s="101">
        <f t="shared" si="0"/>
        <v>1.1666666666666667</v>
      </c>
      <c r="AC21" s="81"/>
      <c r="AD21" s="81"/>
    </row>
    <row r="22" spans="1:30" ht="23.25" customHeight="1" thickBot="1" x14ac:dyDescent="0.3">
      <c r="A22" s="104" t="s">
        <v>28</v>
      </c>
      <c r="B22" s="25"/>
      <c r="C22" s="26">
        <v>1</v>
      </c>
      <c r="D22" s="25">
        <v>1</v>
      </c>
      <c r="E22" s="26">
        <v>1</v>
      </c>
      <c r="F22" s="25">
        <v>1</v>
      </c>
      <c r="G22" s="26"/>
      <c r="H22" s="25">
        <v>1</v>
      </c>
      <c r="I22" s="26">
        <v>1</v>
      </c>
      <c r="J22" s="28"/>
      <c r="K22" s="29">
        <v>1</v>
      </c>
      <c r="L22" s="25">
        <v>1</v>
      </c>
      <c r="M22" s="26">
        <v>2</v>
      </c>
      <c r="N22" s="25">
        <v>1</v>
      </c>
      <c r="O22" s="27"/>
      <c r="P22" s="28">
        <v>2</v>
      </c>
      <c r="Q22" s="30">
        <v>1</v>
      </c>
      <c r="R22" s="28"/>
      <c r="S22" s="30">
        <v>7</v>
      </c>
      <c r="T22" s="28"/>
      <c r="U22" s="29">
        <v>2</v>
      </c>
      <c r="V22" s="59"/>
      <c r="W22" s="31">
        <v>1</v>
      </c>
      <c r="X22" s="28"/>
      <c r="Y22" s="26"/>
      <c r="Z22" s="11">
        <f t="shared" si="1"/>
        <v>7</v>
      </c>
      <c r="AA22" s="100">
        <f t="shared" si="2"/>
        <v>17</v>
      </c>
      <c r="AB22" s="101">
        <f t="shared" si="0"/>
        <v>2.4285714285714284</v>
      </c>
      <c r="AC22" s="81"/>
      <c r="AD22" s="81"/>
    </row>
    <row r="23" spans="1:30" ht="23.25" customHeight="1" thickBot="1" x14ac:dyDescent="0.3">
      <c r="A23" s="123" t="s">
        <v>72</v>
      </c>
      <c r="B23" s="32">
        <f t="shared" ref="B23:Y23" si="3">SUM(B5:B22)</f>
        <v>28</v>
      </c>
      <c r="C23" s="33">
        <f t="shared" si="3"/>
        <v>28</v>
      </c>
      <c r="D23" s="34">
        <f t="shared" si="3"/>
        <v>29</v>
      </c>
      <c r="E23" s="35">
        <f t="shared" si="3"/>
        <v>23</v>
      </c>
      <c r="F23" s="34">
        <f t="shared" si="3"/>
        <v>37</v>
      </c>
      <c r="G23" s="35">
        <f t="shared" si="3"/>
        <v>44</v>
      </c>
      <c r="H23" s="34">
        <f t="shared" si="3"/>
        <v>18</v>
      </c>
      <c r="I23" s="35">
        <f t="shared" si="3"/>
        <v>21</v>
      </c>
      <c r="J23" s="37">
        <f t="shared" si="3"/>
        <v>18</v>
      </c>
      <c r="K23" s="38">
        <f t="shared" si="3"/>
        <v>22</v>
      </c>
      <c r="L23" s="34">
        <f t="shared" si="3"/>
        <v>21</v>
      </c>
      <c r="M23" s="35">
        <f t="shared" si="3"/>
        <v>24</v>
      </c>
      <c r="N23" s="34">
        <f t="shared" si="3"/>
        <v>27</v>
      </c>
      <c r="O23" s="36">
        <f t="shared" si="3"/>
        <v>31</v>
      </c>
      <c r="P23" s="34">
        <f t="shared" si="3"/>
        <v>33</v>
      </c>
      <c r="Q23" s="36">
        <f t="shared" si="3"/>
        <v>28</v>
      </c>
      <c r="R23" s="34">
        <f t="shared" si="3"/>
        <v>36</v>
      </c>
      <c r="S23" s="36">
        <f t="shared" si="3"/>
        <v>43</v>
      </c>
      <c r="T23" s="34">
        <f t="shared" si="3"/>
        <v>32</v>
      </c>
      <c r="U23" s="35">
        <f t="shared" si="3"/>
        <v>33</v>
      </c>
      <c r="V23" s="39">
        <f t="shared" si="3"/>
        <v>23</v>
      </c>
      <c r="W23" s="40">
        <f t="shared" si="3"/>
        <v>19</v>
      </c>
      <c r="X23" s="34">
        <f t="shared" si="3"/>
        <v>0</v>
      </c>
      <c r="Y23" s="35">
        <f t="shared" si="3"/>
        <v>0</v>
      </c>
      <c r="Z23" s="41">
        <f>X23+V23+T23+R23+P23+N23+L23+J23+H23+F23+D23+B23</f>
        <v>302</v>
      </c>
      <c r="AA23" s="42">
        <f>SUM(AA5:AA22)</f>
        <v>316</v>
      </c>
      <c r="AB23" s="102">
        <f t="shared" si="0"/>
        <v>1.0463576158940397</v>
      </c>
      <c r="AC23" s="81"/>
      <c r="AD23" s="81"/>
    </row>
    <row r="24" spans="1:30" s="43" customFormat="1" ht="23.25" customHeight="1" thickBot="1" x14ac:dyDescent="0.3">
      <c r="A24" s="106" t="s">
        <v>71</v>
      </c>
      <c r="B24" s="126">
        <f>C23/B23</f>
        <v>1</v>
      </c>
      <c r="C24" s="127"/>
      <c r="D24" s="126">
        <f>E23/D23</f>
        <v>0.7931034482758621</v>
      </c>
      <c r="E24" s="127"/>
      <c r="F24" s="126">
        <f>G23/F23</f>
        <v>1.1891891891891893</v>
      </c>
      <c r="G24" s="127"/>
      <c r="H24" s="126">
        <f t="shared" ref="H24" si="4">I23/H23</f>
        <v>1.1666666666666667</v>
      </c>
      <c r="I24" s="127"/>
      <c r="J24" s="126">
        <f t="shared" ref="J24" si="5">K23/J23</f>
        <v>1.2222222222222223</v>
      </c>
      <c r="K24" s="127"/>
      <c r="L24" s="126">
        <f t="shared" ref="L24" si="6">M23/L23</f>
        <v>1.1428571428571428</v>
      </c>
      <c r="M24" s="127"/>
      <c r="N24" s="126">
        <f t="shared" ref="N24" si="7">O23/N23</f>
        <v>1.1481481481481481</v>
      </c>
      <c r="O24" s="127"/>
      <c r="P24" s="126">
        <f t="shared" ref="P24" si="8">Q23/P23</f>
        <v>0.84848484848484851</v>
      </c>
      <c r="Q24" s="127"/>
      <c r="R24" s="126">
        <f t="shared" ref="R24" si="9">S23/R23</f>
        <v>1.1944444444444444</v>
      </c>
      <c r="S24" s="127"/>
      <c r="T24" s="126">
        <f t="shared" ref="T24" si="10">U23/T23</f>
        <v>1.03125</v>
      </c>
      <c r="U24" s="127"/>
      <c r="V24" s="126">
        <f t="shared" ref="V24" si="11">W23/V23</f>
        <v>0.82608695652173914</v>
      </c>
      <c r="W24" s="127"/>
      <c r="X24" s="126" t="e">
        <f t="shared" ref="X24" si="12">Y23/X23</f>
        <v>#DIV/0!</v>
      </c>
      <c r="Y24" s="127"/>
      <c r="Z24" s="128">
        <f>AA23/Z23</f>
        <v>1.0463576158940397</v>
      </c>
      <c r="AA24" s="129"/>
      <c r="AB24" s="109"/>
    </row>
    <row r="25" spans="1:30" s="43" customFormat="1" ht="15.75" customHeight="1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77"/>
    </row>
    <row r="26" spans="1:30" s="43" customFormat="1" ht="23.25" customHeight="1" x14ac:dyDescent="0.25">
      <c r="A26" s="122" t="s">
        <v>70</v>
      </c>
      <c r="B26" s="107">
        <v>28</v>
      </c>
      <c r="C26" s="63">
        <v>28</v>
      </c>
      <c r="D26" s="107">
        <v>29</v>
      </c>
      <c r="E26" s="63">
        <v>23</v>
      </c>
      <c r="F26" s="107">
        <v>37</v>
      </c>
      <c r="G26" s="63">
        <v>44</v>
      </c>
      <c r="H26" s="107">
        <v>19</v>
      </c>
      <c r="I26" s="63">
        <v>21</v>
      </c>
      <c r="J26" s="107">
        <v>19</v>
      </c>
      <c r="K26" s="63">
        <v>22</v>
      </c>
      <c r="L26" s="107">
        <v>22</v>
      </c>
      <c r="M26" s="63">
        <v>24</v>
      </c>
      <c r="N26" s="107">
        <v>29</v>
      </c>
      <c r="O26" s="63">
        <v>31</v>
      </c>
      <c r="P26" s="107">
        <v>35</v>
      </c>
      <c r="Q26" s="63">
        <v>28</v>
      </c>
      <c r="R26" s="107">
        <v>38</v>
      </c>
      <c r="S26" s="63">
        <v>43</v>
      </c>
      <c r="T26" s="107">
        <v>34</v>
      </c>
      <c r="U26" s="63">
        <v>33</v>
      </c>
      <c r="V26" s="107">
        <v>25</v>
      </c>
      <c r="W26" s="63">
        <v>19</v>
      </c>
      <c r="X26" s="107"/>
      <c r="Y26" s="63"/>
      <c r="Z26" s="110">
        <f>B26+D26+F26+H26+J26+L26+N26+P26+R26+T26+V26+X26</f>
        <v>315</v>
      </c>
      <c r="AA26" s="63">
        <f>C26+E26+G26+I26+K26+M26+O26+Q26+S26+U26+W26+Y26</f>
        <v>316</v>
      </c>
      <c r="AB26" s="108"/>
    </row>
    <row r="27" spans="1:30" s="43" customFormat="1" ht="15.75" x14ac:dyDescent="0.25">
      <c r="A27" s="113" t="s">
        <v>51</v>
      </c>
      <c r="B27" s="138">
        <f>C26/B26</f>
        <v>1</v>
      </c>
      <c r="C27" s="138"/>
      <c r="D27" s="138">
        <f>E26/D26</f>
        <v>0.7931034482758621</v>
      </c>
      <c r="E27" s="138"/>
      <c r="F27" s="138">
        <f>G26/F26</f>
        <v>1.1891891891891893</v>
      </c>
      <c r="G27" s="138"/>
      <c r="H27" s="138">
        <f>I26/H26</f>
        <v>1.1052631578947369</v>
      </c>
      <c r="I27" s="138"/>
      <c r="J27" s="138">
        <f>K26/J26</f>
        <v>1.1578947368421053</v>
      </c>
      <c r="K27" s="138"/>
      <c r="L27" s="138">
        <f>M26/L26</f>
        <v>1.0909090909090908</v>
      </c>
      <c r="M27" s="138"/>
      <c r="N27" s="138">
        <f>O26/N26</f>
        <v>1.0689655172413792</v>
      </c>
      <c r="O27" s="138"/>
      <c r="P27" s="138">
        <f>Q26/P26</f>
        <v>0.8</v>
      </c>
      <c r="Q27" s="138"/>
      <c r="R27" s="138">
        <f>S26/R26</f>
        <v>1.131578947368421</v>
      </c>
      <c r="S27" s="138"/>
      <c r="T27" s="138">
        <f>U26/T26</f>
        <v>0.97058823529411764</v>
      </c>
      <c r="U27" s="138"/>
      <c r="V27" s="138">
        <f>W26/V26</f>
        <v>0.76</v>
      </c>
      <c r="W27" s="138"/>
      <c r="X27" s="138"/>
      <c r="Y27" s="138"/>
      <c r="Z27" s="138">
        <f>AA26/Z26</f>
        <v>1.0031746031746032</v>
      </c>
      <c r="AA27" s="138"/>
      <c r="AB27" s="108"/>
    </row>
    <row r="28" spans="1:30" ht="15.75" x14ac:dyDescent="0.25">
      <c r="A28" s="105" t="s">
        <v>65</v>
      </c>
    </row>
    <row r="29" spans="1:30" ht="15.75" x14ac:dyDescent="0.25">
      <c r="A29" s="43" t="s">
        <v>53</v>
      </c>
      <c r="B29" s="8"/>
      <c r="C29" s="8"/>
    </row>
    <row r="30" spans="1:30" x14ac:dyDescent="0.25">
      <c r="A30" t="s">
        <v>54</v>
      </c>
      <c r="B30" s="8"/>
      <c r="C30" s="8"/>
    </row>
    <row r="31" spans="1:30" x14ac:dyDescent="0.25">
      <c r="A31" s="115" t="s">
        <v>55</v>
      </c>
      <c r="B31" s="8"/>
      <c r="C31" s="8"/>
    </row>
    <row r="32" spans="1:30" s="117" customFormat="1" x14ac:dyDescent="0.25">
      <c r="A32" s="117" t="s">
        <v>69</v>
      </c>
      <c r="B32" s="118"/>
      <c r="C32" s="118"/>
      <c r="V32" s="119"/>
      <c r="W32" s="119"/>
      <c r="AA32" s="120"/>
      <c r="AB32" s="119"/>
    </row>
    <row r="33" spans="1:27" x14ac:dyDescent="0.25">
      <c r="A33" t="s">
        <v>56</v>
      </c>
      <c r="B33" s="8"/>
      <c r="C33" s="8"/>
    </row>
    <row r="34" spans="1:27" x14ac:dyDescent="0.25">
      <c r="A34" t="s">
        <v>57</v>
      </c>
      <c r="B34" s="8"/>
      <c r="C34" s="8"/>
    </row>
    <row r="35" spans="1:27" x14ac:dyDescent="0.25">
      <c r="A35" t="s">
        <v>66</v>
      </c>
      <c r="B35" s="8"/>
    </row>
    <row r="36" spans="1:27" x14ac:dyDescent="0.25">
      <c r="A36" t="s">
        <v>68</v>
      </c>
      <c r="B36" s="8"/>
      <c r="AA36" s="121"/>
    </row>
    <row r="37" spans="1:27" x14ac:dyDescent="0.25">
      <c r="A37" s="117" t="s">
        <v>74</v>
      </c>
      <c r="B37" s="8"/>
    </row>
    <row r="38" spans="1:27" x14ac:dyDescent="0.25">
      <c r="A38" t="s">
        <v>73</v>
      </c>
      <c r="B38" s="8"/>
    </row>
    <row r="39" spans="1:27" x14ac:dyDescent="0.25">
      <c r="A39" t="s">
        <v>75</v>
      </c>
      <c r="B39" s="8"/>
    </row>
    <row r="40" spans="1:27" x14ac:dyDescent="0.25">
      <c r="B40" s="8"/>
    </row>
    <row r="41" spans="1:27" x14ac:dyDescent="0.25">
      <c r="A41" s="116" t="s">
        <v>59</v>
      </c>
      <c r="B41" s="64" t="s">
        <v>64</v>
      </c>
    </row>
    <row r="42" spans="1:27" x14ac:dyDescent="0.25">
      <c r="A42" s="63" t="s">
        <v>58</v>
      </c>
      <c r="B42" s="116">
        <v>9</v>
      </c>
      <c r="AA42" s="121"/>
    </row>
    <row r="43" spans="1:27" x14ac:dyDescent="0.25">
      <c r="A43" s="63" t="s">
        <v>60</v>
      </c>
      <c r="B43" s="116">
        <v>11</v>
      </c>
    </row>
    <row r="44" spans="1:27" x14ac:dyDescent="0.25">
      <c r="A44" s="63" t="s">
        <v>61</v>
      </c>
      <c r="B44" s="63">
        <v>2</v>
      </c>
    </row>
    <row r="45" spans="1:27" x14ac:dyDescent="0.25">
      <c r="A45" s="63" t="s">
        <v>24</v>
      </c>
      <c r="B45" s="116">
        <v>7</v>
      </c>
    </row>
    <row r="46" spans="1:27" x14ac:dyDescent="0.25">
      <c r="A46" s="63" t="s">
        <v>22</v>
      </c>
      <c r="B46" s="116">
        <v>9</v>
      </c>
    </row>
    <row r="47" spans="1:27" x14ac:dyDescent="0.25">
      <c r="A47" s="63" t="s">
        <v>43</v>
      </c>
      <c r="B47" s="116">
        <v>7</v>
      </c>
    </row>
    <row r="48" spans="1:27" x14ac:dyDescent="0.25">
      <c r="A48" s="63" t="s">
        <v>42</v>
      </c>
      <c r="B48" s="116">
        <v>4</v>
      </c>
    </row>
    <row r="49" spans="1:2" x14ac:dyDescent="0.25">
      <c r="A49" s="63" t="s">
        <v>62</v>
      </c>
      <c r="B49" s="116">
        <v>2</v>
      </c>
    </row>
    <row r="50" spans="1:2" x14ac:dyDescent="0.25">
      <c r="A50" s="63" t="s">
        <v>67</v>
      </c>
      <c r="B50" s="116">
        <v>2</v>
      </c>
    </row>
    <row r="51" spans="1:2" x14ac:dyDescent="0.25">
      <c r="A51" s="63" t="s">
        <v>63</v>
      </c>
      <c r="B51" s="116">
        <v>2</v>
      </c>
    </row>
    <row r="52" spans="1:2" x14ac:dyDescent="0.25">
      <c r="A52" s="116" t="s">
        <v>12</v>
      </c>
      <c r="B52" s="116">
        <f>SUM(B42:B51)</f>
        <v>55</v>
      </c>
    </row>
  </sheetData>
  <mergeCells count="41">
    <mergeCell ref="Z27:AA27"/>
    <mergeCell ref="P27:Q27"/>
    <mergeCell ref="N27:O27"/>
    <mergeCell ref="B27:C27"/>
    <mergeCell ref="D27:E27"/>
    <mergeCell ref="F27:G27"/>
    <mergeCell ref="H27:I27"/>
    <mergeCell ref="J27:K27"/>
    <mergeCell ref="L27:M27"/>
    <mergeCell ref="R27:S27"/>
    <mergeCell ref="T27:U27"/>
    <mergeCell ref="V27:W27"/>
    <mergeCell ref="X27:Y27"/>
    <mergeCell ref="A1:Z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B24:C24"/>
    <mergeCell ref="D24:E24"/>
    <mergeCell ref="F24:G24"/>
    <mergeCell ref="H24:I24"/>
    <mergeCell ref="J24:K24"/>
    <mergeCell ref="AB3:AB4"/>
    <mergeCell ref="X24:Y24"/>
    <mergeCell ref="Z24:AA24"/>
    <mergeCell ref="L24:M24"/>
    <mergeCell ref="N24:O24"/>
    <mergeCell ref="P24:Q24"/>
    <mergeCell ref="R24:S24"/>
    <mergeCell ref="T24:U24"/>
    <mergeCell ref="V24:W24"/>
    <mergeCell ref="X3:Y3"/>
    <mergeCell ref="Z3:AA3"/>
  </mergeCells>
  <pageMargins left="0.25" right="0.25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8D47-9C84-40D0-AEA6-DF6251C1CE91}">
  <dimension ref="B2:O19"/>
  <sheetViews>
    <sheetView workbookViewId="0">
      <selection activeCell="K4" sqref="K4"/>
    </sheetView>
  </sheetViews>
  <sheetFormatPr defaultRowHeight="15" x14ac:dyDescent="0.25"/>
  <sheetData>
    <row r="2" spans="2:15" ht="21.75" customHeight="1" x14ac:dyDescent="0.25">
      <c r="B2" s="141" t="s">
        <v>40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84"/>
    </row>
    <row r="3" spans="2:15" ht="21.75" customHeight="1" x14ac:dyDescent="0.25">
      <c r="B3" s="85"/>
      <c r="C3" s="139" t="s">
        <v>5</v>
      </c>
      <c r="D3" s="139"/>
      <c r="E3" s="139" t="s">
        <v>6</v>
      </c>
      <c r="F3" s="139"/>
      <c r="G3" s="139" t="s">
        <v>7</v>
      </c>
      <c r="H3" s="139"/>
      <c r="I3" s="139" t="s">
        <v>8</v>
      </c>
      <c r="J3" s="139"/>
      <c r="K3" s="139" t="s">
        <v>41</v>
      </c>
      <c r="L3" s="139"/>
      <c r="M3" s="139" t="s">
        <v>12</v>
      </c>
      <c r="N3" s="139"/>
      <c r="O3" s="139" t="s">
        <v>13</v>
      </c>
    </row>
    <row r="4" spans="2:15" ht="21.75" customHeight="1" x14ac:dyDescent="0.25">
      <c r="B4" s="86"/>
      <c r="C4" s="91" t="s">
        <v>14</v>
      </c>
      <c r="D4" s="91" t="s">
        <v>15</v>
      </c>
      <c r="E4" s="91" t="s">
        <v>14</v>
      </c>
      <c r="F4" s="91" t="s">
        <v>15</v>
      </c>
      <c r="G4" s="91" t="s">
        <v>14</v>
      </c>
      <c r="H4" s="91" t="s">
        <v>15</v>
      </c>
      <c r="I4" s="91" t="s">
        <v>14</v>
      </c>
      <c r="J4" s="91" t="s">
        <v>15</v>
      </c>
      <c r="K4" s="91" t="s">
        <v>14</v>
      </c>
      <c r="L4" s="91" t="s">
        <v>15</v>
      </c>
      <c r="M4" s="91" t="s">
        <v>14</v>
      </c>
      <c r="N4" s="91" t="s">
        <v>15</v>
      </c>
      <c r="O4" s="139"/>
    </row>
    <row r="5" spans="2:15" ht="21.75" customHeight="1" x14ac:dyDescent="0.25">
      <c r="B5" s="85" t="s">
        <v>17</v>
      </c>
      <c r="C5" s="92">
        <v>2</v>
      </c>
      <c r="D5" s="93">
        <v>1</v>
      </c>
      <c r="E5" s="92">
        <v>3</v>
      </c>
      <c r="F5" s="93"/>
      <c r="G5" s="92">
        <v>2</v>
      </c>
      <c r="H5" s="94"/>
      <c r="I5" s="95">
        <v>4</v>
      </c>
      <c r="J5" s="93">
        <v>1</v>
      </c>
      <c r="K5" s="11">
        <v>2</v>
      </c>
      <c r="L5" s="93"/>
      <c r="M5" s="96">
        <f>C5+E5+G5+I5</f>
        <v>11</v>
      </c>
      <c r="N5" s="93">
        <f>D5+F5+H5+J5</f>
        <v>2</v>
      </c>
      <c r="O5" s="87">
        <f>N5/M5</f>
        <v>0.18181818181818182</v>
      </c>
    </row>
    <row r="6" spans="2:15" ht="21.75" customHeight="1" x14ac:dyDescent="0.25">
      <c r="B6" s="85" t="s">
        <v>18</v>
      </c>
      <c r="C6" s="92"/>
      <c r="D6" s="93"/>
      <c r="E6" s="92"/>
      <c r="F6" s="93"/>
      <c r="G6" s="92"/>
      <c r="H6" s="94"/>
      <c r="I6" s="95"/>
      <c r="J6" s="93"/>
      <c r="K6" s="14"/>
      <c r="L6" s="93"/>
      <c r="M6" s="96">
        <f t="shared" ref="M6:M17" si="0">C6+E6+G6+I6</f>
        <v>0</v>
      </c>
      <c r="N6" s="93">
        <f t="shared" ref="N6:N17" si="1">D6+F6+H6+J6</f>
        <v>0</v>
      </c>
      <c r="O6" s="87" t="e">
        <f t="shared" ref="O6:O18" si="2">N6/M6</f>
        <v>#DIV/0!</v>
      </c>
    </row>
    <row r="7" spans="2:15" ht="21.75" customHeight="1" x14ac:dyDescent="0.25">
      <c r="B7" s="85" t="s">
        <v>19</v>
      </c>
      <c r="C7" s="92"/>
      <c r="D7" s="93"/>
      <c r="E7" s="92">
        <v>1</v>
      </c>
      <c r="F7" s="93"/>
      <c r="G7" s="92"/>
      <c r="H7" s="94"/>
      <c r="I7" s="95">
        <v>5</v>
      </c>
      <c r="J7" s="93"/>
      <c r="K7" s="14">
        <v>2</v>
      </c>
      <c r="L7" s="93"/>
      <c r="M7" s="96">
        <f t="shared" si="0"/>
        <v>6</v>
      </c>
      <c r="N7" s="93">
        <f t="shared" si="1"/>
        <v>0</v>
      </c>
      <c r="O7" s="87">
        <f t="shared" si="2"/>
        <v>0</v>
      </c>
    </row>
    <row r="8" spans="2:15" ht="21.75" customHeight="1" x14ac:dyDescent="0.25">
      <c r="B8" s="85" t="s">
        <v>20</v>
      </c>
      <c r="C8" s="92"/>
      <c r="D8" s="93"/>
      <c r="E8" s="92"/>
      <c r="F8" s="93"/>
      <c r="G8" s="92"/>
      <c r="H8" s="94"/>
      <c r="I8" s="95"/>
      <c r="J8" s="93"/>
      <c r="K8" s="14"/>
      <c r="L8" s="93"/>
      <c r="M8" s="96">
        <f t="shared" si="0"/>
        <v>0</v>
      </c>
      <c r="N8" s="93">
        <f t="shared" si="1"/>
        <v>0</v>
      </c>
      <c r="O8" s="87" t="e">
        <f t="shared" si="2"/>
        <v>#DIV/0!</v>
      </c>
    </row>
    <row r="9" spans="2:15" ht="21.75" customHeight="1" x14ac:dyDescent="0.25">
      <c r="B9" s="85" t="s">
        <v>21</v>
      </c>
      <c r="C9" s="92">
        <v>4</v>
      </c>
      <c r="D9" s="93">
        <v>1</v>
      </c>
      <c r="E9" s="92">
        <v>6</v>
      </c>
      <c r="F9" s="93">
        <v>3</v>
      </c>
      <c r="G9" s="92">
        <v>5</v>
      </c>
      <c r="H9" s="94">
        <v>3</v>
      </c>
      <c r="I9" s="95">
        <v>6</v>
      </c>
      <c r="J9" s="93">
        <v>1</v>
      </c>
      <c r="K9" s="14">
        <v>3</v>
      </c>
      <c r="L9" s="93"/>
      <c r="M9" s="96">
        <f t="shared" si="0"/>
        <v>21</v>
      </c>
      <c r="N9" s="93">
        <f t="shared" si="1"/>
        <v>8</v>
      </c>
      <c r="O9" s="87">
        <f t="shared" si="2"/>
        <v>0.38095238095238093</v>
      </c>
    </row>
    <row r="10" spans="2:15" ht="21.75" customHeight="1" x14ac:dyDescent="0.25">
      <c r="B10" s="85" t="s">
        <v>22</v>
      </c>
      <c r="C10" s="92">
        <v>4</v>
      </c>
      <c r="D10" s="93">
        <v>2</v>
      </c>
      <c r="E10" s="92">
        <v>5</v>
      </c>
      <c r="F10" s="93"/>
      <c r="G10" s="92">
        <v>6</v>
      </c>
      <c r="H10" s="94"/>
      <c r="I10" s="95">
        <v>8</v>
      </c>
      <c r="J10" s="93">
        <v>2</v>
      </c>
      <c r="K10" s="14">
        <v>4</v>
      </c>
      <c r="L10" s="93"/>
      <c r="M10" s="96">
        <f t="shared" si="0"/>
        <v>23</v>
      </c>
      <c r="N10" s="93">
        <f t="shared" si="1"/>
        <v>4</v>
      </c>
      <c r="O10" s="87">
        <f t="shared" si="2"/>
        <v>0.17391304347826086</v>
      </c>
    </row>
    <row r="11" spans="2:15" ht="21.75" customHeight="1" x14ac:dyDescent="0.25">
      <c r="B11" s="85" t="s">
        <v>23</v>
      </c>
      <c r="C11" s="92">
        <v>2</v>
      </c>
      <c r="D11" s="93">
        <v>1</v>
      </c>
      <c r="E11" s="92">
        <v>1</v>
      </c>
      <c r="F11" s="93">
        <v>3</v>
      </c>
      <c r="G11" s="92">
        <v>2</v>
      </c>
      <c r="H11" s="94"/>
      <c r="I11" s="95">
        <v>4</v>
      </c>
      <c r="J11" s="93">
        <v>3</v>
      </c>
      <c r="K11" s="14">
        <v>3</v>
      </c>
      <c r="L11" s="93"/>
      <c r="M11" s="96">
        <f t="shared" si="0"/>
        <v>9</v>
      </c>
      <c r="N11" s="93">
        <f t="shared" si="1"/>
        <v>7</v>
      </c>
      <c r="O11" s="87">
        <f t="shared" si="2"/>
        <v>0.77777777777777779</v>
      </c>
    </row>
    <row r="12" spans="2:15" ht="21.75" customHeight="1" x14ac:dyDescent="0.25">
      <c r="B12" s="85" t="s">
        <v>24</v>
      </c>
      <c r="C12" s="92">
        <v>8</v>
      </c>
      <c r="D12" s="93">
        <v>4</v>
      </c>
      <c r="E12" s="92">
        <v>7</v>
      </c>
      <c r="F12" s="93">
        <v>2</v>
      </c>
      <c r="G12" s="92">
        <v>10</v>
      </c>
      <c r="H12" s="94">
        <v>5</v>
      </c>
      <c r="I12" s="95">
        <v>2</v>
      </c>
      <c r="J12" s="93"/>
      <c r="K12" s="14">
        <v>7</v>
      </c>
      <c r="L12" s="93"/>
      <c r="M12" s="96">
        <f t="shared" si="0"/>
        <v>27</v>
      </c>
      <c r="N12" s="93">
        <f t="shared" si="1"/>
        <v>11</v>
      </c>
      <c r="O12" s="87">
        <f t="shared" si="2"/>
        <v>0.40740740740740738</v>
      </c>
    </row>
    <row r="13" spans="2:15" ht="21.75" customHeight="1" x14ac:dyDescent="0.25">
      <c r="B13" s="85" t="s">
        <v>25</v>
      </c>
      <c r="C13" s="92">
        <v>3</v>
      </c>
      <c r="D13" s="93">
        <v>2</v>
      </c>
      <c r="E13" s="92">
        <v>6</v>
      </c>
      <c r="F13" s="93">
        <v>2</v>
      </c>
      <c r="G13" s="92">
        <v>5</v>
      </c>
      <c r="H13" s="94">
        <v>1</v>
      </c>
      <c r="I13" s="95">
        <v>5</v>
      </c>
      <c r="J13" s="93">
        <v>2</v>
      </c>
      <c r="K13" s="14">
        <v>3</v>
      </c>
      <c r="L13" s="93"/>
      <c r="M13" s="96">
        <f t="shared" si="0"/>
        <v>19</v>
      </c>
      <c r="N13" s="93">
        <f t="shared" si="1"/>
        <v>7</v>
      </c>
      <c r="O13" s="87">
        <f t="shared" si="2"/>
        <v>0.36842105263157893</v>
      </c>
    </row>
    <row r="14" spans="2:15" ht="21.75" customHeight="1" x14ac:dyDescent="0.25">
      <c r="B14" s="85" t="s">
        <v>26</v>
      </c>
      <c r="C14" s="92"/>
      <c r="D14" s="93"/>
      <c r="E14" s="92">
        <v>2</v>
      </c>
      <c r="F14" s="93"/>
      <c r="G14" s="92">
        <v>2</v>
      </c>
      <c r="H14" s="94">
        <v>2</v>
      </c>
      <c r="I14" s="95"/>
      <c r="J14" s="93"/>
      <c r="K14" s="14"/>
      <c r="L14" s="93"/>
      <c r="M14" s="96">
        <f t="shared" si="0"/>
        <v>4</v>
      </c>
      <c r="N14" s="93">
        <f t="shared" si="1"/>
        <v>2</v>
      </c>
      <c r="O14" s="87">
        <f t="shared" si="2"/>
        <v>0.5</v>
      </c>
    </row>
    <row r="15" spans="2:15" ht="21.75" customHeight="1" x14ac:dyDescent="0.25">
      <c r="B15" s="85" t="s">
        <v>32</v>
      </c>
      <c r="C15" s="92"/>
      <c r="D15" s="93"/>
      <c r="E15" s="92"/>
      <c r="F15" s="93"/>
      <c r="G15" s="92"/>
      <c r="H15" s="94"/>
      <c r="I15" s="95"/>
      <c r="J15" s="93"/>
      <c r="K15" s="14"/>
      <c r="L15" s="93"/>
      <c r="M15" s="96">
        <f t="shared" si="0"/>
        <v>0</v>
      </c>
      <c r="N15" s="93">
        <f t="shared" si="1"/>
        <v>0</v>
      </c>
      <c r="O15" s="87" t="e">
        <f t="shared" si="2"/>
        <v>#DIV/0!</v>
      </c>
    </row>
    <row r="16" spans="2:15" ht="21.75" customHeight="1" x14ac:dyDescent="0.25">
      <c r="B16" s="85" t="s">
        <v>27</v>
      </c>
      <c r="C16" s="92">
        <v>3</v>
      </c>
      <c r="D16" s="93"/>
      <c r="E16" s="92"/>
      <c r="F16" s="93"/>
      <c r="G16" s="92"/>
      <c r="H16" s="94"/>
      <c r="I16" s="95"/>
      <c r="J16" s="93"/>
      <c r="K16" s="14"/>
      <c r="L16" s="93"/>
      <c r="M16" s="96">
        <f t="shared" si="0"/>
        <v>3</v>
      </c>
      <c r="N16" s="93">
        <f t="shared" si="1"/>
        <v>0</v>
      </c>
      <c r="O16" s="87">
        <f t="shared" si="2"/>
        <v>0</v>
      </c>
    </row>
    <row r="17" spans="2:15" ht="21.75" customHeight="1" thickBot="1" x14ac:dyDescent="0.3">
      <c r="B17" s="85" t="s">
        <v>28</v>
      </c>
      <c r="C17" s="92">
        <v>1</v>
      </c>
      <c r="D17" s="93">
        <v>1</v>
      </c>
      <c r="E17" s="92">
        <v>2</v>
      </c>
      <c r="F17" s="93"/>
      <c r="G17" s="92">
        <v>2</v>
      </c>
      <c r="H17" s="94"/>
      <c r="I17" s="95">
        <v>2</v>
      </c>
      <c r="J17" s="93"/>
      <c r="K17" s="28">
        <v>4</v>
      </c>
      <c r="L17" s="93"/>
      <c r="M17" s="96">
        <f t="shared" si="0"/>
        <v>7</v>
      </c>
      <c r="N17" s="93">
        <f t="shared" si="1"/>
        <v>1</v>
      </c>
      <c r="O17" s="87">
        <f t="shared" si="2"/>
        <v>0.14285714285714285</v>
      </c>
    </row>
    <row r="18" spans="2:15" ht="21.75" customHeight="1" x14ac:dyDescent="0.25">
      <c r="B18" s="88"/>
      <c r="C18" s="97">
        <f>SUM(C5:C17)</f>
        <v>27</v>
      </c>
      <c r="D18" s="97">
        <f t="shared" ref="D18:N18" si="3">SUM(D5:D17)</f>
        <v>12</v>
      </c>
      <c r="E18" s="97">
        <f t="shared" si="3"/>
        <v>33</v>
      </c>
      <c r="F18" s="97">
        <f t="shared" si="3"/>
        <v>10</v>
      </c>
      <c r="G18" s="97">
        <f t="shared" si="3"/>
        <v>34</v>
      </c>
      <c r="H18" s="97">
        <f t="shared" si="3"/>
        <v>11</v>
      </c>
      <c r="I18" s="98">
        <f t="shared" si="3"/>
        <v>36</v>
      </c>
      <c r="J18" s="98">
        <f t="shared" si="3"/>
        <v>9</v>
      </c>
      <c r="K18" s="98"/>
      <c r="L18" s="98"/>
      <c r="M18" s="98">
        <f t="shared" si="3"/>
        <v>130</v>
      </c>
      <c r="N18" s="97">
        <f t="shared" si="3"/>
        <v>42</v>
      </c>
      <c r="O18" s="87">
        <f t="shared" si="2"/>
        <v>0.32307692307692309</v>
      </c>
    </row>
    <row r="19" spans="2:15" ht="21.75" customHeight="1" x14ac:dyDescent="0.25">
      <c r="B19" s="89" t="s">
        <v>29</v>
      </c>
      <c r="C19" s="140">
        <f>D18/C18</f>
        <v>0.44444444444444442</v>
      </c>
      <c r="D19" s="140"/>
      <c r="E19" s="140">
        <f>F18/E18</f>
        <v>0.30303030303030304</v>
      </c>
      <c r="F19" s="140"/>
      <c r="G19" s="140">
        <f>H18/G18</f>
        <v>0.3235294117647059</v>
      </c>
      <c r="H19" s="140"/>
      <c r="I19" s="140">
        <f>J18/I18</f>
        <v>0.25</v>
      </c>
      <c r="J19" s="140"/>
      <c r="K19" s="99"/>
      <c r="L19" s="99"/>
      <c r="M19" s="140">
        <f>N18/M18</f>
        <v>0.32307692307692309</v>
      </c>
      <c r="N19" s="140"/>
      <c r="O19" s="90"/>
    </row>
  </sheetData>
  <mergeCells count="13">
    <mergeCell ref="B2:N2"/>
    <mergeCell ref="C3:D3"/>
    <mergeCell ref="E3:F3"/>
    <mergeCell ref="G3:H3"/>
    <mergeCell ref="I3:J3"/>
    <mergeCell ref="M3:N3"/>
    <mergeCell ref="O3:O4"/>
    <mergeCell ref="C19:D19"/>
    <mergeCell ref="E19:F19"/>
    <mergeCell ref="G19:H19"/>
    <mergeCell ref="I19:J19"/>
    <mergeCell ref="M19:N19"/>
    <mergeCell ref="K3:L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B11" sqref="B11"/>
    </sheetView>
  </sheetViews>
  <sheetFormatPr defaultRowHeight="15" x14ac:dyDescent="0.25"/>
  <cols>
    <col min="1" max="1" width="21.7109375" customWidth="1"/>
    <col min="2" max="3" width="10.42578125" customWidth="1"/>
    <col min="4" max="4" width="16.28515625" bestFit="1" customWidth="1"/>
    <col min="6" max="6" width="19.28515625" style="3" bestFit="1" customWidth="1"/>
    <col min="8" max="8" width="33.5703125" bestFit="1" customWidth="1"/>
  </cols>
  <sheetData>
    <row r="1" spans="1:8" ht="18.75" x14ac:dyDescent="0.3">
      <c r="A1" s="2" t="s">
        <v>39</v>
      </c>
      <c r="B1" s="2"/>
      <c r="C1" s="2"/>
    </row>
    <row r="2" spans="1:8" ht="15.75" thickBot="1" x14ac:dyDescent="0.3"/>
    <row r="3" spans="1:8" ht="15.75" thickBot="1" x14ac:dyDescent="0.3">
      <c r="A3" s="44" t="s">
        <v>30</v>
      </c>
      <c r="B3" s="45" t="s">
        <v>31</v>
      </c>
      <c r="C3" s="46" t="s">
        <v>16</v>
      </c>
      <c r="D3" s="82" t="s">
        <v>37</v>
      </c>
      <c r="E3" s="61" t="s">
        <v>12</v>
      </c>
      <c r="F3" s="64" t="s">
        <v>33</v>
      </c>
      <c r="G3" s="65" t="s">
        <v>34</v>
      </c>
      <c r="H3" s="63" t="s">
        <v>35</v>
      </c>
    </row>
    <row r="4" spans="1:8" ht="16.5" customHeight="1" x14ac:dyDescent="0.25">
      <c r="A4" s="51" t="s">
        <v>0</v>
      </c>
      <c r="B4" s="17">
        <v>15</v>
      </c>
      <c r="C4" s="52">
        <v>15</v>
      </c>
      <c r="D4" s="50">
        <v>5</v>
      </c>
      <c r="E4" s="83">
        <f>SUM(C4:D4)</f>
        <v>20</v>
      </c>
      <c r="F4" s="78">
        <v>31</v>
      </c>
      <c r="G4" s="65">
        <v>31</v>
      </c>
      <c r="H4" s="63" t="s">
        <v>38</v>
      </c>
    </row>
    <row r="5" spans="1:8" ht="16.5" customHeight="1" x14ac:dyDescent="0.25">
      <c r="A5" s="53" t="s">
        <v>1</v>
      </c>
      <c r="B5" s="14"/>
      <c r="C5" s="24"/>
      <c r="D5" s="50"/>
      <c r="E5" s="79"/>
      <c r="F5" s="78"/>
      <c r="G5" s="65"/>
      <c r="H5" s="63"/>
    </row>
    <row r="6" spans="1:8" ht="16.5" customHeight="1" x14ac:dyDescent="0.25">
      <c r="A6" s="54" t="s">
        <v>2</v>
      </c>
      <c r="B6" s="14"/>
      <c r="C6" s="24"/>
      <c r="D6" s="50"/>
      <c r="E6" s="79"/>
      <c r="F6" s="78"/>
      <c r="G6" s="65"/>
      <c r="H6" s="63"/>
    </row>
    <row r="7" spans="1:8" ht="15.75" x14ac:dyDescent="0.25">
      <c r="A7" s="53" t="s">
        <v>3</v>
      </c>
      <c r="B7" s="14"/>
      <c r="C7" s="24"/>
      <c r="D7" s="50"/>
      <c r="E7" s="79"/>
      <c r="F7" s="78"/>
      <c r="G7" s="65"/>
      <c r="H7" s="80"/>
    </row>
    <row r="8" spans="1:8" ht="15.75" x14ac:dyDescent="0.25">
      <c r="A8" s="54" t="s">
        <v>4</v>
      </c>
      <c r="B8" s="14"/>
      <c r="C8" s="24"/>
      <c r="D8" s="50"/>
      <c r="E8" s="79"/>
      <c r="F8" s="78"/>
      <c r="G8" s="65"/>
      <c r="H8" s="80"/>
    </row>
    <row r="9" spans="1:8" ht="15.75" x14ac:dyDescent="0.25">
      <c r="A9" s="53" t="s">
        <v>5</v>
      </c>
      <c r="B9" s="14"/>
      <c r="C9" s="24"/>
      <c r="D9" s="50"/>
      <c r="E9" s="79"/>
      <c r="F9" s="78"/>
      <c r="G9" s="65"/>
      <c r="H9" s="80"/>
    </row>
    <row r="10" spans="1:8" ht="16.5" customHeight="1" x14ac:dyDescent="0.25">
      <c r="A10" s="54" t="s">
        <v>6</v>
      </c>
      <c r="B10" s="14"/>
      <c r="C10" s="24"/>
      <c r="D10" s="50"/>
      <c r="E10" s="79"/>
      <c r="F10" s="78"/>
      <c r="G10" s="65"/>
      <c r="H10" s="63"/>
    </row>
    <row r="11" spans="1:8" ht="16.5" customHeight="1" x14ac:dyDescent="0.25">
      <c r="A11" s="53" t="s">
        <v>7</v>
      </c>
      <c r="B11" s="14"/>
      <c r="C11" s="24"/>
      <c r="D11" s="50"/>
      <c r="E11" s="79"/>
      <c r="F11" s="64"/>
      <c r="G11" s="65"/>
      <c r="H11" s="63"/>
    </row>
    <row r="12" spans="1:8" ht="16.5" customHeight="1" x14ac:dyDescent="0.25">
      <c r="A12" s="54" t="s">
        <v>8</v>
      </c>
      <c r="B12" s="14"/>
      <c r="C12" s="24"/>
      <c r="D12" s="50"/>
      <c r="E12" s="79"/>
      <c r="F12" s="64"/>
      <c r="G12" s="65"/>
      <c r="H12" s="63"/>
    </row>
    <row r="13" spans="1:8" ht="16.5" customHeight="1" x14ac:dyDescent="0.25">
      <c r="A13" s="53" t="s">
        <v>9</v>
      </c>
      <c r="B13" s="14"/>
      <c r="C13" s="24"/>
      <c r="D13" s="50"/>
      <c r="E13" s="79"/>
      <c r="F13" s="64"/>
      <c r="G13" s="65"/>
      <c r="H13" s="63"/>
    </row>
    <row r="14" spans="1:8" ht="16.5" customHeight="1" x14ac:dyDescent="0.25">
      <c r="A14" s="54" t="s">
        <v>10</v>
      </c>
      <c r="B14" s="14"/>
      <c r="C14" s="24"/>
      <c r="D14" s="50"/>
      <c r="E14" s="62"/>
      <c r="F14" s="64"/>
      <c r="G14" s="65"/>
      <c r="H14" s="63"/>
    </row>
    <row r="15" spans="1:8" ht="15.75" thickBot="1" x14ac:dyDescent="0.3">
      <c r="A15" s="55" t="s">
        <v>11</v>
      </c>
      <c r="B15" s="28"/>
      <c r="C15" s="67"/>
      <c r="D15" s="68"/>
      <c r="E15" s="69"/>
      <c r="F15" s="70"/>
      <c r="G15" s="71"/>
      <c r="H15" s="72"/>
    </row>
    <row r="16" spans="1:8" ht="15.75" thickBot="1" x14ac:dyDescent="0.3">
      <c r="A16" s="60" t="s">
        <v>12</v>
      </c>
      <c r="B16" s="66">
        <f>SUM(B4:B15)</f>
        <v>15</v>
      </c>
      <c r="C16" s="73">
        <f t="shared" ref="C16:E16" si="0">SUM(C4:C15)</f>
        <v>15</v>
      </c>
      <c r="D16" s="73">
        <f t="shared" si="0"/>
        <v>5</v>
      </c>
      <c r="E16" s="73">
        <f t="shared" si="0"/>
        <v>20</v>
      </c>
      <c r="F16" s="74"/>
      <c r="G16" s="76"/>
      <c r="H16" s="75"/>
    </row>
    <row r="17" spans="1:6" s="43" customFormat="1" ht="16.5" thickBot="1" x14ac:dyDescent="0.3">
      <c r="A17" s="47" t="s">
        <v>29</v>
      </c>
      <c r="B17" s="142"/>
      <c r="C17" s="143"/>
      <c r="F17" s="77"/>
    </row>
    <row r="19" spans="1:6" x14ac:dyDescent="0.25">
      <c r="A19" s="48" t="s">
        <v>36</v>
      </c>
      <c r="B19" s="49"/>
      <c r="C19" s="49"/>
      <c r="D19" s="49"/>
    </row>
  </sheetData>
  <mergeCells count="1">
    <mergeCell ref="B17:C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ADP Achvmnt</vt:lpstr>
      <vt:lpstr>Sheet1</vt:lpstr>
      <vt:lpstr>Wholesale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admin5</cp:lastModifiedBy>
  <cp:lastPrinted>2021-11-17T07:09:38Z</cp:lastPrinted>
  <dcterms:created xsi:type="dcterms:W3CDTF">2018-02-01T05:18:55Z</dcterms:created>
  <dcterms:modified xsi:type="dcterms:W3CDTF">2025-12-12T07:48:15Z</dcterms:modified>
</cp:coreProperties>
</file>