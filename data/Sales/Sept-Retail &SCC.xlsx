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\Desktop\"/>
    </mc:Choice>
  </mc:AlternateContent>
  <xr:revisionPtr revIDLastSave="0" documentId="13_ncr:1_{B9E467F1-6B6D-4CD9-94C0-EE91F80E9173}" xr6:coauthVersionLast="47" xr6:coauthVersionMax="47" xr10:uidLastSave="{00000000-0000-0000-0000-000000000000}"/>
  <bookViews>
    <workbookView xWindow="-120" yWindow="-120" windowWidth="20730" windowHeight="11040" xr2:uid="{98154F3D-FF40-45F4-9CB6-FFB42725F521}"/>
  </bookViews>
  <sheets>
    <sheet name="Sheet1" sheetId="1" r:id="rId1"/>
  </sheets>
  <definedNames>
    <definedName name="_xlnm._FilterDatabase" localSheetId="0" hidden="1">Sheet1!$A$2:$V$47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1" i="1" l="1"/>
  <c r="N61" i="1"/>
  <c r="S60" i="1" l="1"/>
  <c r="N60" i="1"/>
  <c r="N59" i="1"/>
  <c r="Q58" i="1"/>
  <c r="N58" i="1"/>
  <c r="N57" i="1"/>
  <c r="N56" i="1"/>
  <c r="N55" i="1"/>
  <c r="N54" i="1"/>
  <c r="N53" i="1"/>
  <c r="N52" i="1"/>
  <c r="N51" i="1"/>
  <c r="N50" i="1"/>
  <c r="N49" i="1"/>
</calcChain>
</file>

<file path=xl/sharedStrings.xml><?xml version="1.0" encoding="utf-8"?>
<sst xmlns="http://schemas.openxmlformats.org/spreadsheetml/2006/main" count="708" uniqueCount="415">
  <si>
    <t>Sl.No</t>
  </si>
  <si>
    <t>Model</t>
  </si>
  <si>
    <t>Color</t>
  </si>
  <si>
    <t>Trim</t>
  </si>
  <si>
    <t>Type</t>
  </si>
  <si>
    <t xml:space="preserve">Comm no </t>
  </si>
  <si>
    <t>Product Name</t>
  </si>
  <si>
    <t>Customer Name</t>
  </si>
  <si>
    <t>SC</t>
  </si>
  <si>
    <t>Bkng.Dt.</t>
  </si>
  <si>
    <t>Status</t>
  </si>
  <si>
    <t>SCC DONE</t>
  </si>
  <si>
    <t>Code</t>
  </si>
  <si>
    <t>Inv.Dt.</t>
  </si>
  <si>
    <t>Chassis no</t>
  </si>
  <si>
    <t>Engine</t>
  </si>
  <si>
    <t>Trans.ID</t>
  </si>
  <si>
    <t>Corporate</t>
  </si>
  <si>
    <t>PDI</t>
  </si>
  <si>
    <t>RETAIL WITHOUT SCC</t>
  </si>
  <si>
    <t>Midhun Krishna</t>
  </si>
  <si>
    <t>SEPTEMBER - RETAIL &amp; SALES CARD CAPTURE</t>
  </si>
  <si>
    <t>SEPT DEMO WHOLESALE</t>
  </si>
  <si>
    <t>SEPT DEMO RETAIL</t>
  </si>
  <si>
    <t>AMG G63</t>
  </si>
  <si>
    <t>464-Manufaktur Desert Sand</t>
  </si>
  <si>
    <t>927-MANUFAKTUR Bengal Red / Bl</t>
  </si>
  <si>
    <t>0582510073</t>
  </si>
  <si>
    <t>CBU W465 Mercedes-AMG G 63 4MATIC</t>
  </si>
  <si>
    <t>Partner Regal Jewellers LLP</t>
  </si>
  <si>
    <t>Sept invcd</t>
  </si>
  <si>
    <t>W1NWH5AB2SX049025</t>
  </si>
  <si>
    <t>17788060290107</t>
  </si>
  <si>
    <t>IN2410302483</t>
  </si>
  <si>
    <t>EQS SUV 580</t>
  </si>
  <si>
    <t>197U-OBSIDIAN BLACK</t>
  </si>
  <si>
    <t>209A-LEDER - GELB / WEISS</t>
  </si>
  <si>
    <t>Yard</t>
  </si>
  <si>
    <t>0582577874</t>
  </si>
  <si>
    <t>X296 EQS SUV 580 4MATIC</t>
  </si>
  <si>
    <t>Dr. Ahamed Kabeer Puthukkidi,Al-Madeena Institute of Medical Science</t>
  </si>
  <si>
    <t>Basil</t>
  </si>
  <si>
    <t>W1NDM4EB7SM000962</t>
  </si>
  <si>
    <t>78060020342027</t>
  </si>
  <si>
    <t>IN2510279011</t>
  </si>
  <si>
    <t>C 220d</t>
  </si>
  <si>
    <t>885U-OPALITH WHITE</t>
  </si>
  <si>
    <t>104A-ARTICO BROWN</t>
  </si>
  <si>
    <t>0582570553</t>
  </si>
  <si>
    <t>W206 C 220d</t>
  </si>
  <si>
    <t>Saifudheen</t>
  </si>
  <si>
    <t>Irshad-27/08/25</t>
  </si>
  <si>
    <t>Sept invcd/</t>
  </si>
  <si>
    <t>VH0000000227</t>
  </si>
  <si>
    <t>W1KAF0EB5SL018241</t>
  </si>
  <si>
    <t>65482080295130</t>
  </si>
  <si>
    <t>E220d</t>
  </si>
  <si>
    <t>149U-polar white</t>
  </si>
  <si>
    <t>125A-ARTICO BEIGE</t>
  </si>
  <si>
    <t>0482583778</t>
  </si>
  <si>
    <t>V214 E 220d</t>
  </si>
  <si>
    <t>Lekha Sreekumar</t>
  </si>
  <si>
    <t>Fousia-21/08</t>
  </si>
  <si>
    <t>VH0003200004</t>
  </si>
  <si>
    <t>W1KLG0EB9SL004106</t>
  </si>
  <si>
    <t>65482080257832</t>
  </si>
  <si>
    <t>GLA220d4M</t>
  </si>
  <si>
    <t>191U-COSMOS BLACK</t>
  </si>
  <si>
    <t>105A-ARTICO - BEIGE</t>
  </si>
  <si>
    <t>0582570977</t>
  </si>
  <si>
    <t>H247 GLA 220d 4MATIC</t>
  </si>
  <si>
    <t>Sajith Malentada</t>
  </si>
  <si>
    <t>Nizar-18/09</t>
  </si>
  <si>
    <t>VH0000000132</t>
  </si>
  <si>
    <t>W1N4N1FB7SL017843</t>
  </si>
  <si>
    <t>654920V0533440</t>
  </si>
  <si>
    <t>149-POLAR WHITE</t>
  </si>
  <si>
    <t>105-BEIGE</t>
  </si>
  <si>
    <t>0482587482</t>
  </si>
  <si>
    <t>Firose Khan C H</t>
  </si>
  <si>
    <t>Nizamudheen-19/09</t>
  </si>
  <si>
    <t>VH0000000029</t>
  </si>
  <si>
    <t>W1N4N1FB2SL017572</t>
  </si>
  <si>
    <t>654920V0525612</t>
  </si>
  <si>
    <t>A 200d</t>
  </si>
  <si>
    <t>149U-POLAR WHITE</t>
  </si>
  <si>
    <t>105A-LEATHERETTE - BEIGE</t>
  </si>
  <si>
    <t>0482571025</t>
  </si>
  <si>
    <t>V177 A 200d</t>
  </si>
  <si>
    <t>Ayshath Sumayya C H</t>
  </si>
  <si>
    <t>Nizamudheen-05/07</t>
  </si>
  <si>
    <t>VH0000000468</t>
  </si>
  <si>
    <t>W1K3G1CB8RL009333</t>
  </si>
  <si>
    <t>654920V0451620</t>
  </si>
  <si>
    <t>A200</t>
  </si>
  <si>
    <t>0482570343</t>
  </si>
  <si>
    <t>001 V177 A 200 191 105</t>
  </si>
  <si>
    <t>Renjith C</t>
  </si>
  <si>
    <t>Basil Poulose-15/09</t>
  </si>
  <si>
    <t>VH0000600049</t>
  </si>
  <si>
    <t>W1K3G8HB4RL009251</t>
  </si>
  <si>
    <t>28281480138269</t>
  </si>
  <si>
    <t>GLC220d</t>
  </si>
  <si>
    <t>105A-BEIGE</t>
  </si>
  <si>
    <t>0482584145</t>
  </si>
  <si>
    <t>X254 GLC 220d 4MATIC</t>
  </si>
  <si>
    <t>Abdul Kader N P</t>
  </si>
  <si>
    <t>Maneesh-23/07</t>
  </si>
  <si>
    <t>VH0000000121</t>
  </si>
  <si>
    <t>W1NKM0FB9SL009201</t>
  </si>
  <si>
    <t>65482080258297</t>
  </si>
  <si>
    <t>842-SODALITH BLUE</t>
  </si>
  <si>
    <t>104A-ARTICO - BROWN</t>
  </si>
  <si>
    <t>0482584003</t>
  </si>
  <si>
    <t>Piyush Nair</t>
  </si>
  <si>
    <t>Ajmal-14/09</t>
  </si>
  <si>
    <t>VH0000002012</t>
  </si>
  <si>
    <t>W1KAF0EBXSL018011</t>
  </si>
  <si>
    <t>65482080257648</t>
  </si>
  <si>
    <t>197-OBSIDIAN BLACK</t>
  </si>
  <si>
    <t>0482584020</t>
  </si>
  <si>
    <t>Alex C T,Sun Polymers</t>
  </si>
  <si>
    <t>Basil Poulose-20/09</t>
  </si>
  <si>
    <t>VH0000002013</t>
  </si>
  <si>
    <t>W1KAF0EB5SL018028</t>
  </si>
  <si>
    <t>65482080257701</t>
  </si>
  <si>
    <t>0482584235</t>
  </si>
  <si>
    <t>Philip Anil Cherian, Bigfield Drug Links</t>
  </si>
  <si>
    <t>Anish Alexander-17/09</t>
  </si>
  <si>
    <t>VH0000000217</t>
  </si>
  <si>
    <t>W1NKM0FB3SL009291</t>
  </si>
  <si>
    <t>65482080258204</t>
  </si>
  <si>
    <t>197U-Obsidian black</t>
  </si>
  <si>
    <t>0582571629</t>
  </si>
  <si>
    <t>Manarikkal Jasmin,Janatha Shoppers Shop</t>
  </si>
  <si>
    <t>Basil-20/09</t>
  </si>
  <si>
    <t>VH0000000230</t>
  </si>
  <si>
    <t>W1KLG0EB2SL006117</t>
  </si>
  <si>
    <t>65482080305571</t>
  </si>
  <si>
    <t>GLS 450d</t>
  </si>
  <si>
    <t>124A-ARTICO LEATHER-BROWN</t>
  </si>
  <si>
    <t>0582571361</t>
  </si>
  <si>
    <t>X167 GLS 450D 4MATIC AMG Line</t>
  </si>
  <si>
    <t>Mng.Partner,Theertha International</t>
  </si>
  <si>
    <t>Thamjeed-19/09</t>
  </si>
  <si>
    <t>VH0003200012</t>
  </si>
  <si>
    <t>W1NFF3DE7SM031363</t>
  </si>
  <si>
    <t>65683080057819</t>
  </si>
  <si>
    <t>sto created -16/07</t>
  </si>
  <si>
    <t>GLE300d4M</t>
  </si>
  <si>
    <t>0582574807</t>
  </si>
  <si>
    <t>V167 GLE 300d 4MATIC AMG Line</t>
  </si>
  <si>
    <t>K A Muhammad Iqbal</t>
  </si>
  <si>
    <t>Ajmal</t>
  </si>
  <si>
    <t>W1NFB0KB7SM032385</t>
  </si>
  <si>
    <t>65482080325135</t>
  </si>
  <si>
    <t>041-Manufaktur Graphite</t>
  </si>
  <si>
    <t>957-MANUFAKTUR Bengal Red / Bl</t>
  </si>
  <si>
    <t>0582510072</t>
  </si>
  <si>
    <t>Sujaina MP</t>
  </si>
  <si>
    <t>Shreenidhi</t>
  </si>
  <si>
    <t>W1NWH5AB6SX047987</t>
  </si>
  <si>
    <t>17788060289746</t>
  </si>
  <si>
    <t>135A-ARTICO LEATHER-BEIGE</t>
  </si>
  <si>
    <t>0582576338</t>
  </si>
  <si>
    <t>Abdul Jabbar Mangalathayil</t>
  </si>
  <si>
    <t>Liji</t>
  </si>
  <si>
    <t>W1NFB0KB2SM032908</t>
  </si>
  <si>
    <t>65482080337282</t>
  </si>
  <si>
    <t>C 200</t>
  </si>
  <si>
    <t>922U-HIGH-TECH-SILVER</t>
  </si>
  <si>
    <t>101A-BLACK / ANTHRACITE</t>
  </si>
  <si>
    <t>0582575758</t>
  </si>
  <si>
    <t>W206 C 200</t>
  </si>
  <si>
    <t>Dr. Deepu Suresh</t>
  </si>
  <si>
    <t>Josbin</t>
  </si>
  <si>
    <t>W1KAF4CB5SL018766</t>
  </si>
  <si>
    <t>254915V0929760</t>
  </si>
  <si>
    <t>104A-LEATHERETTE - BROWN</t>
  </si>
  <si>
    <t>0582570775</t>
  </si>
  <si>
    <t>Asit Maity, PRITHA JEWELLERS</t>
  </si>
  <si>
    <t>W1NKM0FB6SL010015</t>
  </si>
  <si>
    <t>65482080295583</t>
  </si>
  <si>
    <t>AMG GLE 53C</t>
  </si>
  <si>
    <t>956U - MANUFAKTUR alpine grey</t>
  </si>
  <si>
    <t>857A-Red Pepper / Black</t>
  </si>
  <si>
    <t>0582510401</t>
  </si>
  <si>
    <t>CBU C167 Mercedes-AMG GLE 53 COUPE</t>
  </si>
  <si>
    <t>Mehroof I Manalody Managing Director G TEC EDUCATIONAL Pvt Ltd</t>
  </si>
  <si>
    <t>W1NFD6BB3SB434459</t>
  </si>
  <si>
    <t>25683030230473</t>
  </si>
  <si>
    <t>0582575008</t>
  </si>
  <si>
    <t>JOS ALUKKAS INDIA PRIVATE LIMITED</t>
  </si>
  <si>
    <t>W1NFF3DE6SM032634</t>
  </si>
  <si>
    <t>65683080065746</t>
  </si>
  <si>
    <t>124A-ARTICO BROWN</t>
  </si>
  <si>
    <t>0582575323</t>
  </si>
  <si>
    <t>Dr. MUJEEB RAHMAN N M</t>
  </si>
  <si>
    <t>W1KLG0EB1SL007579</t>
  </si>
  <si>
    <t>65482080337049</t>
  </si>
  <si>
    <t>IN2510317128</t>
  </si>
  <si>
    <t>IN2510321627</t>
  </si>
  <si>
    <t>IN2510347604</t>
  </si>
  <si>
    <t>IN2510331088</t>
  </si>
  <si>
    <t>IN2510352549</t>
  </si>
  <si>
    <t>IN2510356637</t>
  </si>
  <si>
    <t>IN2510317625</t>
  </si>
  <si>
    <t>IN2510330555</t>
  </si>
  <si>
    <t>0482586141</t>
  </si>
  <si>
    <t>GLA220D4M</t>
  </si>
  <si>
    <t>Subair .</t>
  </si>
  <si>
    <t>Safeer</t>
  </si>
  <si>
    <t>W1N4N1FB2SL017359</t>
  </si>
  <si>
    <t>654920V0520086</t>
  </si>
  <si>
    <t>101A-LEATHERETTE - BLACK / ANT</t>
  </si>
  <si>
    <t>0582570840</t>
  </si>
  <si>
    <t>Krishnakumar D</t>
  </si>
  <si>
    <t>Nidhin</t>
  </si>
  <si>
    <t>W1NKM0FB6SL010080</t>
  </si>
  <si>
    <t>65482080295611</t>
  </si>
  <si>
    <t>0582572219</t>
  </si>
  <si>
    <t>P A Malik Proprietor P T Lam</t>
  </si>
  <si>
    <t>Thamjeed</t>
  </si>
  <si>
    <t>W1NKM0FB9SL010283</t>
  </si>
  <si>
    <t>65482080305778</t>
  </si>
  <si>
    <t>0582572263</t>
  </si>
  <si>
    <t>The Managing Director Organo Fertilizers India PVT Ltd</t>
  </si>
  <si>
    <t>Basil Poulose</t>
  </si>
  <si>
    <t>W1NKM0FB3SL010327</t>
  </si>
  <si>
    <t>65482080305838</t>
  </si>
  <si>
    <t>149U - polar white</t>
  </si>
  <si>
    <t xml:space="preserve">
857A-Red Pepper / Black</t>
  </si>
  <si>
    <t>0582510396</t>
  </si>
  <si>
    <t>Mercedes-AMG GLE 53 COUPE</t>
  </si>
  <si>
    <t>Muhammed Shareef M P</t>
  </si>
  <si>
    <t>W1NFD6BB2SB432590</t>
  </si>
  <si>
    <t>25683030234807</t>
  </si>
  <si>
    <t>Trnst</t>
  </si>
  <si>
    <t>0582572840</t>
  </si>
  <si>
    <t>Dr. Ashish Kuruvila</t>
  </si>
  <si>
    <t>Anish Alexander</t>
  </si>
  <si>
    <t>W1N4N1FB5SL017954</t>
  </si>
  <si>
    <t>654920V0537937</t>
  </si>
  <si>
    <t>AMG GLC43C</t>
  </si>
  <si>
    <t>818U-MANUFAKTUR graphite grey</t>
  </si>
  <si>
    <t>651A-black with red contrastin</t>
  </si>
  <si>
    <t>0582510670</t>
  </si>
  <si>
    <t>CBU C254 Mercedes-AMG GLC 43 Coupe</t>
  </si>
  <si>
    <t>JIMMY MATHEW GEORGE</t>
  </si>
  <si>
    <t>Anandhu</t>
  </si>
  <si>
    <t>W1NKJ8HB7SF404416</t>
  </si>
  <si>
    <t>13958060062121</t>
  </si>
  <si>
    <t>IN2510340471</t>
  </si>
  <si>
    <t>IN2510342450</t>
  </si>
  <si>
    <t>IN2510316554</t>
  </si>
  <si>
    <t>IN2510357886</t>
  </si>
  <si>
    <t>IN2510359749</t>
  </si>
  <si>
    <t>IN2510340371</t>
  </si>
  <si>
    <t>IN2510358474</t>
  </si>
  <si>
    <t>0482586506</t>
  </si>
  <si>
    <t>0582570559</t>
  </si>
  <si>
    <t>0582570579</t>
  </si>
  <si>
    <t>0582570763</t>
  </si>
  <si>
    <t>0582570972</t>
  </si>
  <si>
    <t>0582571557</t>
  </si>
  <si>
    <t>0582571601</t>
  </si>
  <si>
    <t>0582577688</t>
  </si>
  <si>
    <t>V167 GLE 450d 4MATIC</t>
  </si>
  <si>
    <t>124-BROWN</t>
  </si>
  <si>
    <t>105A-ARTICO BEIGE</t>
  </si>
  <si>
    <t>595U-NAUTIC BLUE</t>
  </si>
  <si>
    <t>W1NFB3DB2SM030476</t>
  </si>
  <si>
    <t>W1KAF0EB6SL018247</t>
  </si>
  <si>
    <t>W1KAF0EB1SL018267</t>
  </si>
  <si>
    <t>W1NKM0FBXSL010003</t>
  </si>
  <si>
    <t>W1N4N1FB3SL017838</t>
  </si>
  <si>
    <t>W1KLG0EB3SL006045</t>
  </si>
  <si>
    <t>W1KLG0EB1SL006089</t>
  </si>
  <si>
    <t>W1NFF3DE7SM033730</t>
  </si>
  <si>
    <t>65683080051115</t>
  </si>
  <si>
    <t>65482080295101</t>
  </si>
  <si>
    <t>65482080295129</t>
  </si>
  <si>
    <t>65482080295578</t>
  </si>
  <si>
    <t>654920V0533408</t>
  </si>
  <si>
    <t>65482080305529</t>
  </si>
  <si>
    <t>65482080305568</t>
  </si>
  <si>
    <t>65683080263041</t>
  </si>
  <si>
    <t>GLE 450d</t>
  </si>
  <si>
    <t>GLC 220d</t>
  </si>
  <si>
    <t>GLA 220d</t>
  </si>
  <si>
    <t>E 220d</t>
  </si>
  <si>
    <t xml:space="preserve">
105A-ARTICO BEIGE</t>
  </si>
  <si>
    <t>0582573997</t>
  </si>
  <si>
    <t>Sony M G</t>
  </si>
  <si>
    <t>W1KAF0EB8SL018637</t>
  </si>
  <si>
    <t>65482080324689</t>
  </si>
  <si>
    <t>IN2510356964</t>
  </si>
  <si>
    <t>0582575739</t>
  </si>
  <si>
    <t>K C Sajeevan</t>
  </si>
  <si>
    <t>W1KAF4CB1SL018747</t>
  </si>
  <si>
    <t>254915V0929761</t>
  </si>
  <si>
    <t>IN2510341946</t>
  </si>
  <si>
    <t>0582572312</t>
  </si>
  <si>
    <t>Abdul Hameed</t>
  </si>
  <si>
    <t>Sreejesh</t>
  </si>
  <si>
    <t>W1NKM0FB4SL010448</t>
  </si>
  <si>
    <t>65482080305855</t>
  </si>
  <si>
    <t>0582571218</t>
  </si>
  <si>
    <t>Amal PS</t>
  </si>
  <si>
    <t>Sreehari</t>
  </si>
  <si>
    <t>W1NFB0KB3SM031508</t>
  </si>
  <si>
    <t>65482080295396</t>
  </si>
  <si>
    <t>0582575241</t>
  </si>
  <si>
    <t>Majeed M P</t>
  </si>
  <si>
    <t>Irshad</t>
  </si>
  <si>
    <t>W1KLG0EB1SL007209</t>
  </si>
  <si>
    <t>65482080336934</t>
  </si>
  <si>
    <t>842U-SODALITE BLUE</t>
  </si>
  <si>
    <t>0582574022</t>
  </si>
  <si>
    <t>ZAZIL BUSINESS ASSOCIATES INDIA PRIVATE LIMITED</t>
  </si>
  <si>
    <t>Ameer</t>
  </si>
  <si>
    <t>W1KAF0EB7SL018662</t>
  </si>
  <si>
    <t>65482080324714</t>
  </si>
  <si>
    <t>188U-VERDE SILVER</t>
  </si>
  <si>
    <t>0582576940</t>
  </si>
  <si>
    <t>N B Dhanya</t>
  </si>
  <si>
    <t>W1KLG0EB6SL008212</t>
  </si>
  <si>
    <t>65482080352858</t>
  </si>
  <si>
    <t>IN2510346735</t>
  </si>
  <si>
    <t>IN2510332664</t>
  </si>
  <si>
    <t>IN2510317083</t>
  </si>
  <si>
    <t>IN2510348692</t>
  </si>
  <si>
    <t>IN2510353038</t>
  </si>
  <si>
    <t>964-MANUFAKTUR Saddle Brown /</t>
  </si>
  <si>
    <t>0582510071</t>
  </si>
  <si>
    <t>Abdul Samad P V</t>
  </si>
  <si>
    <t>W1NWH5ABXSX048852</t>
  </si>
  <si>
    <t>17788030013068</t>
  </si>
  <si>
    <t>C 300</t>
  </si>
  <si>
    <t>194A-ARTICO BROWN/BLACK</t>
  </si>
  <si>
    <t>0582577158</t>
  </si>
  <si>
    <t>W206 C 300</t>
  </si>
  <si>
    <t>Varkey Alappat</t>
  </si>
  <si>
    <t>W1KAF4GB8SL018822</t>
  </si>
  <si>
    <t>254920V0966725</t>
  </si>
  <si>
    <t>0582573430</t>
  </si>
  <si>
    <t>Ajeesh Proprietor ABABEEL IMPORTS AND EXPORTS</t>
  </si>
  <si>
    <t>Shahabas</t>
  </si>
  <si>
    <t>W1KLG0EB4SL006622</t>
  </si>
  <si>
    <t>65482080324795</t>
  </si>
  <si>
    <t>IN2510341704</t>
  </si>
  <si>
    <t>IN2510290878</t>
  </si>
  <si>
    <t>GLE300D4M</t>
  </si>
  <si>
    <t>135-BEIGE</t>
  </si>
  <si>
    <t>0582571174</t>
  </si>
  <si>
    <t>Kokkat Poulose Joy</t>
  </si>
  <si>
    <t>Basil Poulose-23/09</t>
  </si>
  <si>
    <t>VH0000000426</t>
  </si>
  <si>
    <t>W1NFB0KB9SM031464</t>
  </si>
  <si>
    <t>65482080295352</t>
  </si>
  <si>
    <t>0582574072</t>
  </si>
  <si>
    <t>0582577491</t>
  </si>
  <si>
    <t>0582577508</t>
  </si>
  <si>
    <t>149U-Polar White</t>
  </si>
  <si>
    <t>W1NKM0FB9SL010672</t>
  </si>
  <si>
    <t>W1NFB0KB6SM033317</t>
  </si>
  <si>
    <t>W1NFB0KB6SM033334</t>
  </si>
  <si>
    <t>65482080325199</t>
  </si>
  <si>
    <t>65482080353068</t>
  </si>
  <si>
    <t>65482080353257</t>
  </si>
  <si>
    <t>IN2510354011</t>
  </si>
  <si>
    <t>0582570705</t>
  </si>
  <si>
    <t>Siraj V C</t>
  </si>
  <si>
    <t>W1NKM0FB2SL009945</t>
  </si>
  <si>
    <t>65482080295478</t>
  </si>
  <si>
    <t>IN2510356517</t>
  </si>
  <si>
    <t>GLA 200</t>
  </si>
  <si>
    <t>0582572676</t>
  </si>
  <si>
    <t>H247 GLA 200</t>
  </si>
  <si>
    <t>Rashmi P B</t>
  </si>
  <si>
    <t>W1N4N8HB7SL018030</t>
  </si>
  <si>
    <t>28281480327809</t>
  </si>
  <si>
    <t>0582572265</t>
  </si>
  <si>
    <t>Vinay Mohan</t>
  </si>
  <si>
    <t>W1NKM0FB7SL010329</t>
  </si>
  <si>
    <t>65482080305818</t>
  </si>
  <si>
    <t>IN2510345207</t>
  </si>
  <si>
    <t>IN2510362313</t>
  </si>
  <si>
    <t>0582572161</t>
  </si>
  <si>
    <t>0582510793</t>
  </si>
  <si>
    <t>W1NKJ8HB4SF421321</t>
  </si>
  <si>
    <t>W1KAF0EB6SL018457</t>
  </si>
  <si>
    <t>13958060063535</t>
  </si>
  <si>
    <t>65482080305424</t>
  </si>
  <si>
    <t>0582572291</t>
  </si>
  <si>
    <t>W1NKM0FB7SL010427</t>
  </si>
  <si>
    <t>65482080305832</t>
  </si>
  <si>
    <t>VH0000000672</t>
  </si>
  <si>
    <t>VH0000000673</t>
  </si>
  <si>
    <t>VH0000000675</t>
  </si>
  <si>
    <t>VH0000000677</t>
  </si>
  <si>
    <t>VH0000000680</t>
  </si>
  <si>
    <t>VH0000000689</t>
  </si>
  <si>
    <t>VH0000000772</t>
  </si>
  <si>
    <t>VH0000000840</t>
  </si>
  <si>
    <t>VH0000000847</t>
  </si>
  <si>
    <t>VH0000000880</t>
  </si>
  <si>
    <t>VH0000001059</t>
  </si>
  <si>
    <t>VH0000001076</t>
  </si>
  <si>
    <t>VH0000001092</t>
  </si>
  <si>
    <t>VH0003600019</t>
  </si>
  <si>
    <t>Blue chip</t>
  </si>
  <si>
    <t>BNI</t>
  </si>
  <si>
    <t>Doctor</t>
  </si>
  <si>
    <t>Gem and Jewellery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</si>
</sst>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orpoS"/>
    </font>
    <font>
      <b/>
      <sz val="11"/>
      <name val="CorpoS"/>
    </font>
    <font>
      <sz val="11"/>
      <name val="Aptos Narrow"/>
      <family val="2"/>
      <scheme val="minor"/>
    </font>
    <font>
      <sz val="11"/>
      <color theme="1"/>
      <name val="CorpoS"/>
      <family val="2"/>
    </font>
    <font>
      <sz val="11"/>
      <name val="CorpoS"/>
      <family val="2"/>
    </font>
    <font>
      <sz val="11"/>
      <color theme="1"/>
      <name val="CorpoS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orpoS"/>
      <family val="2"/>
    </font>
    <font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14" fontId="5" fillId="0" borderId="3" xfId="0" applyNumberFormat="1" applyFont="1" applyBorder="1" applyAlignment="1">
      <alignment horizontal="right"/>
    </xf>
    <xf numFmtId="0" fontId="5" fillId="0" borderId="3" xfId="0" applyFont="1" applyBorder="1"/>
    <xf numFmtId="14" fontId="7" fillId="0" borderId="3" xfId="0" applyNumberFormat="1" applyFont="1" applyBorder="1"/>
    <xf numFmtId="0" fontId="4" fillId="0" borderId="3" xfId="0" applyFont="1" applyBorder="1"/>
    <xf numFmtId="0" fontId="6" fillId="0" borderId="3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left"/>
    </xf>
    <xf numFmtId="0" fontId="9" fillId="3" borderId="3" xfId="0" applyFont="1" applyFill="1" applyBorder="1" applyAlignment="1">
      <alignment horizontal="center"/>
    </xf>
    <xf numFmtId="0" fontId="4" fillId="0" borderId="3" xfId="0" quotePrefix="1" applyFont="1" applyBorder="1"/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1" fillId="0" borderId="2" xfId="0" applyFont="1" applyBorder="1"/>
    <xf numFmtId="0" fontId="8" fillId="0" borderId="3" xfId="0" applyFont="1" applyBorder="1" applyAlignment="1">
      <alignment horizontal="center"/>
    </xf>
    <xf numFmtId="0" fontId="0" fillId="0" borderId="8" xfId="0" applyBorder="1" applyAlignment="1">
      <alignment horizontal="center"/>
    </xf>
    <xf numFmtId="17" fontId="0" fillId="0" borderId="3" xfId="0" applyNumberFormat="1" applyBorder="1"/>
    <xf numFmtId="0" fontId="9" fillId="0" borderId="3" xfId="0" applyFont="1" applyBorder="1" applyAlignment="1">
      <alignment horizontal="center"/>
    </xf>
    <xf numFmtId="0" fontId="6" fillId="0" borderId="3" xfId="0" quotePrefix="1" applyFont="1" applyBorder="1" applyAlignment="1">
      <alignment horizontal="center"/>
    </xf>
    <xf numFmtId="14" fontId="5" fillId="0" borderId="3" xfId="0" applyNumberFormat="1" applyFont="1" applyBorder="1"/>
    <xf numFmtId="17" fontId="5" fillId="0" borderId="3" xfId="0" applyNumberFormat="1" applyFont="1" applyBorder="1"/>
    <xf numFmtId="0" fontId="0" fillId="0" borderId="3" xfId="0" applyBorder="1" applyAlignment="1">
      <alignment vertical="top"/>
    </xf>
    <xf numFmtId="14" fontId="0" fillId="0" borderId="3" xfId="0" applyNumberFormat="1" applyBorder="1" applyAlignment="1">
      <alignment horizontal="left" vertical="top"/>
    </xf>
    <xf numFmtId="1" fontId="10" fillId="0" borderId="3" xfId="0" applyNumberFormat="1" applyFont="1" applyBorder="1" applyAlignment="1">
      <alignment horizontal="left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top"/>
    </xf>
    <xf numFmtId="14" fontId="0" fillId="0" borderId="3" xfId="0" applyNumberFormat="1" applyBorder="1"/>
    <xf numFmtId="14" fontId="5" fillId="0" borderId="6" xfId="0" applyNumberFormat="1" applyFont="1" applyBorder="1" applyAlignment="1">
      <alignment horizontal="left"/>
    </xf>
    <xf numFmtId="0" fontId="0" fillId="4" borderId="3" xfId="0" applyFill="1" applyBorder="1" applyAlignment="1">
      <alignment horizontal="center"/>
    </xf>
    <xf numFmtId="14" fontId="11" fillId="0" borderId="3" xfId="0" applyNumberFormat="1" applyFont="1" applyBorder="1"/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10" fillId="0" borderId="3" xfId="1" quotePrefix="1" applyBorder="1"/>
    <xf numFmtId="14" fontId="10" fillId="0" borderId="3" xfId="0" applyNumberFormat="1" applyFont="1" applyBorder="1" applyAlignment="1">
      <alignment horizontal="left"/>
    </xf>
    <xf numFmtId="0" fontId="0" fillId="0" borderId="3" xfId="0" quotePrefix="1" applyBorder="1" applyAlignment="1">
      <alignment vertical="top"/>
    </xf>
    <xf numFmtId="14" fontId="5" fillId="0" borderId="3" xfId="0" applyNumberFormat="1" applyFont="1" applyBorder="1" applyAlignment="1">
      <alignment horizontal="center"/>
    </xf>
    <xf numFmtId="0" fontId="12" fillId="0" borderId="3" xfId="0" applyFont="1" applyBorder="1"/>
    <xf numFmtId="0" fontId="0" fillId="5" borderId="3" xfId="0" applyFill="1" applyBorder="1"/>
    <xf numFmtId="0" fontId="5" fillId="0" borderId="6" xfId="0" applyFont="1" applyBorder="1" applyAlignment="1">
      <alignment horizontal="center"/>
    </xf>
    <xf numFmtId="0" fontId="6" fillId="0" borderId="3" xfId="0" quotePrefix="1" applyFont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6" fillId="2" borderId="3" xfId="0" quotePrefix="1" applyFont="1" applyFill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wrapText="1"/>
    </xf>
    <xf numFmtId="0" fontId="4" fillId="0" borderId="0" xfId="0" applyFont="1"/>
    <xf numFmtId="0" fontId="0" fillId="0" borderId="3" xfId="0" quotePrefix="1" applyBorder="1"/>
    <xf numFmtId="0" fontId="0" fillId="0" borderId="6" xfId="0" applyBorder="1"/>
    <xf numFmtId="0" fontId="1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2">
    <cellStyle name="Normal" xfId="0" builtinId="0"/>
    <cellStyle name="Normal 4" xfId="1" xr:uid="{7C7CCC3C-92FF-4570-AE38-A63EBC9CA374}"/>
  </cellStyles>
  <dxfs count="2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9A7B-2978-449A-9346-57E68D0ED1E0}">
  <dimension ref="A1:V70"/>
  <sheetViews>
    <sheetView tabSelected="1" workbookViewId="0">
      <selection activeCell="R31" sqref="R31"/>
    </sheetView>
  </sheetViews>
  <sheetFormatPr defaultRowHeight="15" x14ac:dyDescent="0.25"/>
  <cols>
    <col min="1" max="1" width="6.7109375" customWidth="1"/>
    <col min="2" max="2" width="12.7109375" customWidth="1"/>
    <col min="3" max="3" width="18.28515625" customWidth="1"/>
    <col min="4" max="4" width="19.85546875" customWidth="1"/>
    <col min="6" max="6" width="12.5703125" style="1" customWidth="1"/>
    <col min="7" max="7" width="34.28515625" customWidth="1"/>
    <col min="8" max="8" width="24.140625" customWidth="1"/>
    <col min="9" max="9" width="14.5703125" bestFit="1" customWidth="1"/>
    <col min="10" max="10" width="11.28515625" customWidth="1"/>
    <col min="11" max="11" width="18.42578125" bestFit="1" customWidth="1"/>
    <col min="12" max="12" width="15.140625" bestFit="1" customWidth="1"/>
    <col min="13" max="13" width="11.28515625" bestFit="1" customWidth="1"/>
    <col min="14" max="14" width="12.7109375" style="1" customWidth="1"/>
    <col min="15" max="15" width="20.85546875" customWidth="1"/>
    <col min="16" max="16" width="16.140625" customWidth="1"/>
    <col min="17" max="17" width="13.140625" bestFit="1" customWidth="1"/>
    <col min="18" max="18" width="12.42578125" bestFit="1" customWidth="1"/>
  </cols>
  <sheetData>
    <row r="1" spans="1:19" ht="18" customHeight="1" x14ac:dyDescent="0.25">
      <c r="F1" s="67" t="s">
        <v>21</v>
      </c>
      <c r="G1" s="67"/>
      <c r="H1" s="67"/>
      <c r="I1" s="68"/>
    </row>
    <row r="2" spans="1:19" x14ac:dyDescent="0.25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4" t="s">
        <v>5</v>
      </c>
      <c r="G2" s="2" t="s">
        <v>6</v>
      </c>
      <c r="H2" s="2" t="s">
        <v>7</v>
      </c>
      <c r="I2" s="5" t="s">
        <v>8</v>
      </c>
      <c r="J2" s="6" t="s">
        <v>9</v>
      </c>
      <c r="K2" s="5" t="s">
        <v>10</v>
      </c>
      <c r="L2" s="7" t="s">
        <v>11</v>
      </c>
      <c r="M2" s="2" t="s">
        <v>12</v>
      </c>
      <c r="N2" s="8" t="s">
        <v>13</v>
      </c>
      <c r="O2" s="8" t="s">
        <v>14</v>
      </c>
      <c r="P2" s="5" t="s">
        <v>15</v>
      </c>
      <c r="Q2" s="9" t="s">
        <v>16</v>
      </c>
      <c r="R2" s="9" t="s">
        <v>17</v>
      </c>
    </row>
    <row r="3" spans="1:19" s="20" customFormat="1" x14ac:dyDescent="0.25">
      <c r="A3" s="10">
        <v>1</v>
      </c>
      <c r="B3" s="12" t="s">
        <v>24</v>
      </c>
      <c r="C3" s="12" t="s">
        <v>25</v>
      </c>
      <c r="D3" s="12" t="s">
        <v>26</v>
      </c>
      <c r="E3" s="22" t="s">
        <v>18</v>
      </c>
      <c r="F3" s="14" t="s">
        <v>27</v>
      </c>
      <c r="G3" s="12" t="s">
        <v>28</v>
      </c>
      <c r="H3" s="12" t="s">
        <v>29</v>
      </c>
      <c r="I3" s="12" t="s">
        <v>20</v>
      </c>
      <c r="J3" s="15">
        <v>45608</v>
      </c>
      <c r="K3" s="12" t="s">
        <v>30</v>
      </c>
      <c r="L3" s="16" t="s">
        <v>11</v>
      </c>
      <c r="M3" s="44">
        <v>2544036</v>
      </c>
      <c r="N3" s="45">
        <v>45903</v>
      </c>
      <c r="O3" s="18" t="s">
        <v>31</v>
      </c>
      <c r="P3" s="23" t="s">
        <v>32</v>
      </c>
      <c r="Q3" s="18" t="s">
        <v>33</v>
      </c>
      <c r="R3" s="16"/>
      <c r="S3" s="25"/>
    </row>
    <row r="4" spans="1:19" s="20" customFormat="1" x14ac:dyDescent="0.25">
      <c r="A4" s="10">
        <v>2</v>
      </c>
      <c r="B4" s="16" t="s">
        <v>34</v>
      </c>
      <c r="C4" s="12" t="s">
        <v>35</v>
      </c>
      <c r="D4" s="12" t="s">
        <v>36</v>
      </c>
      <c r="E4" s="13" t="s">
        <v>37</v>
      </c>
      <c r="F4" s="34" t="s">
        <v>38</v>
      </c>
      <c r="G4" s="12" t="s">
        <v>39</v>
      </c>
      <c r="H4" s="11" t="s">
        <v>40</v>
      </c>
      <c r="I4" s="11" t="s">
        <v>41</v>
      </c>
      <c r="J4" s="15">
        <v>45869</v>
      </c>
      <c r="K4" s="12" t="s">
        <v>30</v>
      </c>
      <c r="L4" s="16" t="s">
        <v>11</v>
      </c>
      <c r="M4" s="44">
        <v>2307650</v>
      </c>
      <c r="N4" s="45">
        <v>45919</v>
      </c>
      <c r="O4" s="18" t="s">
        <v>42</v>
      </c>
      <c r="P4" s="23" t="s">
        <v>43</v>
      </c>
      <c r="Q4" s="18" t="s">
        <v>44</v>
      </c>
      <c r="R4" s="16" t="s">
        <v>411</v>
      </c>
      <c r="S4" s="25"/>
    </row>
    <row r="5" spans="1:19" s="20" customFormat="1" x14ac:dyDescent="0.25">
      <c r="A5" s="10">
        <v>3</v>
      </c>
      <c r="B5" s="16" t="s">
        <v>149</v>
      </c>
      <c r="C5" s="12" t="s">
        <v>35</v>
      </c>
      <c r="D5" s="12" t="s">
        <v>140</v>
      </c>
      <c r="E5" s="22" t="s">
        <v>18</v>
      </c>
      <c r="F5" s="34" t="s">
        <v>150</v>
      </c>
      <c r="G5" s="12" t="s">
        <v>151</v>
      </c>
      <c r="H5" s="11" t="s">
        <v>152</v>
      </c>
      <c r="I5" s="11" t="s">
        <v>153</v>
      </c>
      <c r="J5" s="15">
        <v>45896</v>
      </c>
      <c r="K5" s="12" t="s">
        <v>30</v>
      </c>
      <c r="L5" s="16" t="s">
        <v>11</v>
      </c>
      <c r="M5" s="44">
        <v>249904</v>
      </c>
      <c r="N5" s="45">
        <v>45924</v>
      </c>
      <c r="O5" s="18" t="s">
        <v>154</v>
      </c>
      <c r="P5" s="23" t="s">
        <v>155</v>
      </c>
      <c r="Q5" s="18" t="s">
        <v>200</v>
      </c>
      <c r="R5" s="16" t="s">
        <v>412</v>
      </c>
      <c r="S5" s="25"/>
    </row>
    <row r="6" spans="1:19" s="20" customFormat="1" x14ac:dyDescent="0.25">
      <c r="A6" s="10">
        <v>4</v>
      </c>
      <c r="B6" s="12" t="s">
        <v>24</v>
      </c>
      <c r="C6" s="12" t="s">
        <v>156</v>
      </c>
      <c r="D6" t="s">
        <v>157</v>
      </c>
      <c r="E6" s="22" t="s">
        <v>18</v>
      </c>
      <c r="F6" s="14" t="s">
        <v>158</v>
      </c>
      <c r="G6" s="12" t="s">
        <v>28</v>
      </c>
      <c r="H6" s="12" t="s">
        <v>159</v>
      </c>
      <c r="I6" s="12" t="s">
        <v>160</v>
      </c>
      <c r="J6" s="15">
        <v>45845</v>
      </c>
      <c r="K6" s="12" t="s">
        <v>30</v>
      </c>
      <c r="L6" s="16" t="s">
        <v>11</v>
      </c>
      <c r="M6" s="44">
        <v>252080</v>
      </c>
      <c r="N6" s="45">
        <v>45925</v>
      </c>
      <c r="O6" s="18" t="s">
        <v>161</v>
      </c>
      <c r="P6" s="23" t="s">
        <v>162</v>
      </c>
      <c r="Q6" s="18" t="s">
        <v>201</v>
      </c>
      <c r="R6" s="16"/>
      <c r="S6" s="25"/>
    </row>
    <row r="7" spans="1:19" s="20" customFormat="1" x14ac:dyDescent="0.25">
      <c r="A7" s="10">
        <v>5</v>
      </c>
      <c r="B7" s="16" t="s">
        <v>149</v>
      </c>
      <c r="C7" s="12" t="s">
        <v>57</v>
      </c>
      <c r="D7" s="12" t="s">
        <v>163</v>
      </c>
      <c r="E7" s="22" t="s">
        <v>18</v>
      </c>
      <c r="F7" s="34" t="s">
        <v>164</v>
      </c>
      <c r="G7" s="12" t="s">
        <v>151</v>
      </c>
      <c r="H7" s="11" t="s">
        <v>165</v>
      </c>
      <c r="I7" s="11" t="s">
        <v>166</v>
      </c>
      <c r="J7" s="15">
        <v>45895</v>
      </c>
      <c r="K7" s="12" t="s">
        <v>30</v>
      </c>
      <c r="L7" s="16" t="s">
        <v>11</v>
      </c>
      <c r="M7" s="44">
        <v>249294</v>
      </c>
      <c r="N7" s="45">
        <v>45924</v>
      </c>
      <c r="O7" s="18" t="s">
        <v>167</v>
      </c>
      <c r="P7" s="18" t="s">
        <v>168</v>
      </c>
      <c r="Q7" s="18" t="s">
        <v>202</v>
      </c>
      <c r="R7" s="16" t="s">
        <v>412</v>
      </c>
      <c r="S7" s="54"/>
    </row>
    <row r="8" spans="1:19" s="20" customFormat="1" x14ac:dyDescent="0.25">
      <c r="A8" s="10">
        <v>6</v>
      </c>
      <c r="B8" s="16" t="s">
        <v>169</v>
      </c>
      <c r="C8" s="12" t="s">
        <v>170</v>
      </c>
      <c r="D8" s="12" t="s">
        <v>171</v>
      </c>
      <c r="E8" s="13" t="s">
        <v>37</v>
      </c>
      <c r="F8" s="55" t="s">
        <v>172</v>
      </c>
      <c r="G8" s="12" t="s">
        <v>173</v>
      </c>
      <c r="H8" s="11" t="s">
        <v>174</v>
      </c>
      <c r="I8" s="11" t="s">
        <v>175</v>
      </c>
      <c r="J8" s="15">
        <v>45907</v>
      </c>
      <c r="K8" s="12" t="s">
        <v>30</v>
      </c>
      <c r="L8" s="16" t="s">
        <v>11</v>
      </c>
      <c r="M8" s="44">
        <v>225211</v>
      </c>
      <c r="N8" s="45">
        <v>45925</v>
      </c>
      <c r="O8" s="18" t="s">
        <v>176</v>
      </c>
      <c r="P8" s="18" t="s">
        <v>177</v>
      </c>
      <c r="Q8" s="18" t="s">
        <v>203</v>
      </c>
      <c r="R8" s="16" t="s">
        <v>413</v>
      </c>
      <c r="S8" s="25"/>
    </row>
    <row r="9" spans="1:19" s="20" customFormat="1" x14ac:dyDescent="0.25">
      <c r="A9" s="10">
        <v>7</v>
      </c>
      <c r="B9" s="12" t="s">
        <v>102</v>
      </c>
      <c r="C9" s="12" t="s">
        <v>57</v>
      </c>
      <c r="D9" s="12" t="s">
        <v>178</v>
      </c>
      <c r="E9" s="22" t="s">
        <v>18</v>
      </c>
      <c r="F9" s="14" t="s">
        <v>179</v>
      </c>
      <c r="G9" s="12" t="s">
        <v>105</v>
      </c>
      <c r="H9" s="18" t="s">
        <v>180</v>
      </c>
      <c r="I9" s="18" t="s">
        <v>175</v>
      </c>
      <c r="J9" s="15">
        <v>45924</v>
      </c>
      <c r="K9" s="12" t="s">
        <v>30</v>
      </c>
      <c r="L9" s="16" t="s">
        <v>11</v>
      </c>
      <c r="M9" s="44">
        <v>263105</v>
      </c>
      <c r="N9" s="45">
        <v>45925</v>
      </c>
      <c r="O9" s="18" t="s">
        <v>181</v>
      </c>
      <c r="P9" s="23" t="s">
        <v>182</v>
      </c>
      <c r="Q9" s="18" t="s">
        <v>204</v>
      </c>
      <c r="R9" s="16" t="s">
        <v>412</v>
      </c>
      <c r="S9" s="25"/>
    </row>
    <row r="10" spans="1:19" s="20" customFormat="1" x14ac:dyDescent="0.25">
      <c r="A10" s="10">
        <v>8</v>
      </c>
      <c r="B10" s="12" t="s">
        <v>183</v>
      </c>
      <c r="C10" s="12" t="s">
        <v>184</v>
      </c>
      <c r="D10" s="12" t="s">
        <v>185</v>
      </c>
      <c r="E10" s="13" t="s">
        <v>37</v>
      </c>
      <c r="F10" s="55" t="s">
        <v>186</v>
      </c>
      <c r="G10" s="12" t="s">
        <v>187</v>
      </c>
      <c r="H10" s="11" t="s">
        <v>188</v>
      </c>
      <c r="I10" s="11" t="s">
        <v>153</v>
      </c>
      <c r="J10" s="24"/>
      <c r="K10" s="12" t="s">
        <v>30</v>
      </c>
      <c r="L10" s="16" t="s">
        <v>11</v>
      </c>
      <c r="M10" s="44">
        <v>2642916</v>
      </c>
      <c r="N10" s="45">
        <v>45927</v>
      </c>
      <c r="O10" s="18" t="s">
        <v>189</v>
      </c>
      <c r="P10" s="18" t="s">
        <v>190</v>
      </c>
      <c r="Q10" s="18" t="s">
        <v>205</v>
      </c>
      <c r="R10" s="16" t="s">
        <v>412</v>
      </c>
      <c r="S10" s="25"/>
    </row>
    <row r="11" spans="1:19" s="20" customFormat="1" x14ac:dyDescent="0.25">
      <c r="A11" s="10">
        <v>9</v>
      </c>
      <c r="B11" s="11" t="s">
        <v>139</v>
      </c>
      <c r="C11" s="12" t="s">
        <v>35</v>
      </c>
      <c r="D11" s="12" t="s">
        <v>140</v>
      </c>
      <c r="E11" s="13" t="s">
        <v>37</v>
      </c>
      <c r="F11" s="34" t="s">
        <v>191</v>
      </c>
      <c r="G11" s="12" t="s">
        <v>142</v>
      </c>
      <c r="H11" s="11" t="s">
        <v>192</v>
      </c>
      <c r="I11" s="11" t="s">
        <v>20</v>
      </c>
      <c r="J11" s="15">
        <v>45896</v>
      </c>
      <c r="K11" s="12" t="s">
        <v>30</v>
      </c>
      <c r="L11" s="16" t="s">
        <v>11</v>
      </c>
      <c r="M11" s="44">
        <v>250191</v>
      </c>
      <c r="N11" s="45">
        <v>45927</v>
      </c>
      <c r="O11" s="18" t="s">
        <v>193</v>
      </c>
      <c r="P11" s="23" t="s">
        <v>194</v>
      </c>
      <c r="Q11" s="18" t="s">
        <v>206</v>
      </c>
      <c r="R11" s="16" t="s">
        <v>414</v>
      </c>
      <c r="S11" s="25"/>
    </row>
    <row r="12" spans="1:19" s="20" customFormat="1" x14ac:dyDescent="0.25">
      <c r="A12" s="10">
        <v>10</v>
      </c>
      <c r="B12" s="12" t="s">
        <v>56</v>
      </c>
      <c r="C12" s="12" t="s">
        <v>35</v>
      </c>
      <c r="D12" s="12" t="s">
        <v>195</v>
      </c>
      <c r="E12" s="22" t="s">
        <v>18</v>
      </c>
      <c r="F12" s="55" t="s">
        <v>196</v>
      </c>
      <c r="G12" s="12" t="s">
        <v>60</v>
      </c>
      <c r="H12" s="11" t="s">
        <v>197</v>
      </c>
      <c r="I12" s="11" t="s">
        <v>41</v>
      </c>
      <c r="J12" s="24"/>
      <c r="K12" s="12" t="s">
        <v>30</v>
      </c>
      <c r="L12" s="16" t="s">
        <v>11</v>
      </c>
      <c r="M12" s="44">
        <v>248206</v>
      </c>
      <c r="N12" s="45">
        <v>45927</v>
      </c>
      <c r="O12" s="18" t="s">
        <v>198</v>
      </c>
      <c r="P12" s="18" t="s">
        <v>199</v>
      </c>
      <c r="Q12" s="18" t="s">
        <v>207</v>
      </c>
      <c r="R12" s="16" t="s">
        <v>413</v>
      </c>
      <c r="S12" s="25"/>
    </row>
    <row r="13" spans="1:19" s="20" customFormat="1" x14ac:dyDescent="0.25">
      <c r="A13" s="10">
        <v>11</v>
      </c>
      <c r="B13" s="16" t="s">
        <v>66</v>
      </c>
      <c r="C13" s="12" t="s">
        <v>67</v>
      </c>
      <c r="D13" s="12" t="s">
        <v>68</v>
      </c>
      <c r="E13" s="22" t="s">
        <v>18</v>
      </c>
      <c r="F13" s="34" t="s">
        <v>208</v>
      </c>
      <c r="G13" s="12" t="s">
        <v>209</v>
      </c>
      <c r="H13" s="12" t="s">
        <v>210</v>
      </c>
      <c r="I13" s="12" t="s">
        <v>211</v>
      </c>
      <c r="J13" s="15">
        <v>45915</v>
      </c>
      <c r="K13" s="12" t="s">
        <v>30</v>
      </c>
      <c r="L13" s="16" t="s">
        <v>11</v>
      </c>
      <c r="M13" s="44">
        <v>3410847</v>
      </c>
      <c r="N13" s="45">
        <v>45927</v>
      </c>
      <c r="O13" s="18" t="s">
        <v>212</v>
      </c>
      <c r="P13" s="18" t="s">
        <v>213</v>
      </c>
      <c r="Q13" s="18" t="s">
        <v>252</v>
      </c>
      <c r="R13" s="16" t="s">
        <v>412</v>
      </c>
      <c r="S13" s="25"/>
    </row>
    <row r="14" spans="1:19" s="20" customFormat="1" x14ac:dyDescent="0.25">
      <c r="A14" s="10">
        <v>12</v>
      </c>
      <c r="B14" s="12" t="s">
        <v>102</v>
      </c>
      <c r="C14" s="12" t="s">
        <v>170</v>
      </c>
      <c r="D14" s="12" t="s">
        <v>214</v>
      </c>
      <c r="E14" s="22" t="s">
        <v>18</v>
      </c>
      <c r="F14" s="55" t="s">
        <v>215</v>
      </c>
      <c r="G14" s="12" t="s">
        <v>105</v>
      </c>
      <c r="H14" s="11" t="s">
        <v>216</v>
      </c>
      <c r="I14" s="11" t="s">
        <v>217</v>
      </c>
      <c r="J14" s="15">
        <v>45896</v>
      </c>
      <c r="K14" s="12" t="s">
        <v>30</v>
      </c>
      <c r="L14" s="16" t="s">
        <v>11</v>
      </c>
      <c r="M14" s="44">
        <v>247389</v>
      </c>
      <c r="N14" s="45">
        <v>45929</v>
      </c>
      <c r="O14" s="18" t="s">
        <v>218</v>
      </c>
      <c r="P14" s="18" t="s">
        <v>219</v>
      </c>
      <c r="Q14" s="18" t="s">
        <v>253</v>
      </c>
      <c r="R14" s="16" t="s">
        <v>412</v>
      </c>
      <c r="S14" s="25"/>
    </row>
    <row r="15" spans="1:19" s="20" customFormat="1" x14ac:dyDescent="0.25">
      <c r="A15" s="10">
        <v>13</v>
      </c>
      <c r="B15" s="12" t="s">
        <v>102</v>
      </c>
      <c r="C15" s="12" t="s">
        <v>57</v>
      </c>
      <c r="D15" s="12" t="s">
        <v>86</v>
      </c>
      <c r="E15" s="13" t="s">
        <v>37</v>
      </c>
      <c r="F15" s="34" t="s">
        <v>220</v>
      </c>
      <c r="G15" s="12" t="s">
        <v>105</v>
      </c>
      <c r="H15" s="11" t="s">
        <v>221</v>
      </c>
      <c r="I15" s="11" t="s">
        <v>222</v>
      </c>
      <c r="J15" s="15">
        <v>45895</v>
      </c>
      <c r="K15" s="12" t="s">
        <v>30</v>
      </c>
      <c r="L15" s="16" t="s">
        <v>11</v>
      </c>
      <c r="M15" s="44">
        <v>2473372</v>
      </c>
      <c r="N15" s="45">
        <v>45929</v>
      </c>
      <c r="O15" s="18" t="s">
        <v>223</v>
      </c>
      <c r="P15" s="18" t="s">
        <v>224</v>
      </c>
      <c r="Q15" s="18" t="s">
        <v>254</v>
      </c>
      <c r="R15" s="16" t="s">
        <v>412</v>
      </c>
      <c r="S15" s="54"/>
    </row>
    <row r="16" spans="1:19" s="20" customFormat="1" x14ac:dyDescent="0.25">
      <c r="A16" s="10">
        <v>14</v>
      </c>
      <c r="B16" s="12" t="s">
        <v>102</v>
      </c>
      <c r="C16" s="12" t="s">
        <v>35</v>
      </c>
      <c r="D16" s="12" t="s">
        <v>178</v>
      </c>
      <c r="E16" s="13" t="s">
        <v>37</v>
      </c>
      <c r="F16" s="34" t="s">
        <v>225</v>
      </c>
      <c r="G16" s="12" t="s">
        <v>105</v>
      </c>
      <c r="H16" s="12" t="s">
        <v>226</v>
      </c>
      <c r="I16" s="11" t="s">
        <v>227</v>
      </c>
      <c r="J16" s="15">
        <v>45927</v>
      </c>
      <c r="K16" s="12" t="s">
        <v>30</v>
      </c>
      <c r="L16" s="16" t="s">
        <v>11</v>
      </c>
      <c r="M16" s="44">
        <v>266754</v>
      </c>
      <c r="N16" s="45">
        <v>45929</v>
      </c>
      <c r="O16" s="18" t="s">
        <v>228</v>
      </c>
      <c r="P16" s="18" t="s">
        <v>229</v>
      </c>
      <c r="Q16" s="18" t="s">
        <v>255</v>
      </c>
      <c r="R16" s="16" t="s">
        <v>412</v>
      </c>
      <c r="S16" s="25"/>
    </row>
    <row r="17" spans="1:20" s="20" customFormat="1" x14ac:dyDescent="0.25">
      <c r="A17" s="10">
        <v>15</v>
      </c>
      <c r="B17" s="12" t="s">
        <v>183</v>
      </c>
      <c r="C17" s="11" t="s">
        <v>230</v>
      </c>
      <c r="D17" s="12" t="s">
        <v>231</v>
      </c>
      <c r="E17" s="13" t="s">
        <v>37</v>
      </c>
      <c r="F17" s="34" t="s">
        <v>232</v>
      </c>
      <c r="G17" s="12" t="s">
        <v>233</v>
      </c>
      <c r="H17" s="11" t="s">
        <v>234</v>
      </c>
      <c r="I17" s="11" t="s">
        <v>175</v>
      </c>
      <c r="J17" s="15">
        <v>45929</v>
      </c>
      <c r="K17" s="12" t="s">
        <v>30</v>
      </c>
      <c r="L17" s="16" t="s">
        <v>11</v>
      </c>
      <c r="M17" s="44">
        <v>239603</v>
      </c>
      <c r="N17" s="45">
        <v>45929</v>
      </c>
      <c r="O17" s="18" t="s">
        <v>235</v>
      </c>
      <c r="P17" s="18" t="s">
        <v>236</v>
      </c>
      <c r="Q17" s="18" t="s">
        <v>256</v>
      </c>
      <c r="R17" s="16" t="s">
        <v>412</v>
      </c>
      <c r="S17" s="25"/>
    </row>
    <row r="18" spans="1:20" x14ac:dyDescent="0.25">
      <c r="A18" s="10">
        <v>16</v>
      </c>
      <c r="B18" s="16" t="s">
        <v>66</v>
      </c>
      <c r="C18" s="12" t="s">
        <v>85</v>
      </c>
      <c r="D18" s="12" t="s">
        <v>68</v>
      </c>
      <c r="E18" s="56" t="s">
        <v>237</v>
      </c>
      <c r="F18" s="57" t="s">
        <v>238</v>
      </c>
      <c r="G18" s="12" t="s">
        <v>70</v>
      </c>
      <c r="H18" s="11" t="s">
        <v>239</v>
      </c>
      <c r="I18" s="11" t="s">
        <v>240</v>
      </c>
      <c r="J18" s="12"/>
      <c r="K18" s="12" t="s">
        <v>30</v>
      </c>
      <c r="L18" s="16" t="s">
        <v>11</v>
      </c>
      <c r="M18" s="44">
        <v>260112</v>
      </c>
      <c r="N18" s="45">
        <v>45929</v>
      </c>
      <c r="O18" s="18" t="s">
        <v>241</v>
      </c>
      <c r="P18" s="18" t="s">
        <v>242</v>
      </c>
      <c r="Q18" s="18" t="s">
        <v>257</v>
      </c>
      <c r="R18" s="12" t="s">
        <v>413</v>
      </c>
      <c r="S18" s="58"/>
      <c r="T18" s="21"/>
    </row>
    <row r="19" spans="1:20" x14ac:dyDescent="0.25">
      <c r="A19" s="10">
        <v>17</v>
      </c>
      <c r="B19" s="59" t="s">
        <v>243</v>
      </c>
      <c r="C19" s="12" t="s">
        <v>244</v>
      </c>
      <c r="D19" s="12" t="s">
        <v>245</v>
      </c>
      <c r="E19" s="56" t="s">
        <v>237</v>
      </c>
      <c r="F19" s="57" t="s">
        <v>246</v>
      </c>
      <c r="G19" s="12" t="s">
        <v>247</v>
      </c>
      <c r="H19" s="11" t="s">
        <v>248</v>
      </c>
      <c r="I19" s="11" t="s">
        <v>249</v>
      </c>
      <c r="J19" s="12"/>
      <c r="K19" s="12" t="s">
        <v>30</v>
      </c>
      <c r="L19" s="16" t="s">
        <v>11</v>
      </c>
      <c r="M19" s="44">
        <v>256694</v>
      </c>
      <c r="N19" s="45">
        <v>45929</v>
      </c>
      <c r="O19" s="18" t="s">
        <v>250</v>
      </c>
      <c r="P19" s="18" t="s">
        <v>251</v>
      </c>
      <c r="Q19" s="18" t="s">
        <v>258</v>
      </c>
      <c r="R19" s="16" t="s">
        <v>412</v>
      </c>
      <c r="S19" s="58"/>
      <c r="T19" s="21"/>
    </row>
    <row r="20" spans="1:20" s="20" customFormat="1" x14ac:dyDescent="0.25">
      <c r="A20" s="10">
        <v>18</v>
      </c>
      <c r="B20" s="60" t="s">
        <v>45</v>
      </c>
      <c r="C20" s="11" t="s">
        <v>35</v>
      </c>
      <c r="D20" s="12" t="s">
        <v>291</v>
      </c>
      <c r="E20" s="13" t="s">
        <v>37</v>
      </c>
      <c r="F20" s="55" t="s">
        <v>292</v>
      </c>
      <c r="G20" s="12" t="s">
        <v>49</v>
      </c>
      <c r="H20" s="12" t="s">
        <v>293</v>
      </c>
      <c r="I20" s="12" t="s">
        <v>20</v>
      </c>
      <c r="J20" s="15">
        <v>45926</v>
      </c>
      <c r="K20" s="12" t="s">
        <v>30</v>
      </c>
      <c r="L20" s="16" t="s">
        <v>11</v>
      </c>
      <c r="M20" s="44">
        <v>163383</v>
      </c>
      <c r="N20" s="45">
        <v>45929</v>
      </c>
      <c r="O20" s="18" t="s">
        <v>294</v>
      </c>
      <c r="P20" s="18" t="s">
        <v>295</v>
      </c>
      <c r="Q20" s="18" t="s">
        <v>296</v>
      </c>
      <c r="R20" s="16" t="s">
        <v>412</v>
      </c>
      <c r="S20" s="25"/>
    </row>
    <row r="21" spans="1:20" s="20" customFormat="1" x14ac:dyDescent="0.25">
      <c r="A21" s="10">
        <v>19</v>
      </c>
      <c r="B21" s="16" t="s">
        <v>169</v>
      </c>
      <c r="C21" s="12" t="s">
        <v>35</v>
      </c>
      <c r="D21" s="12" t="s">
        <v>103</v>
      </c>
      <c r="E21" s="13" t="s">
        <v>37</v>
      </c>
      <c r="F21" s="55" t="s">
        <v>297</v>
      </c>
      <c r="G21" s="52" t="s">
        <v>173</v>
      </c>
      <c r="H21" s="11" t="s">
        <v>298</v>
      </c>
      <c r="I21" s="11" t="s">
        <v>217</v>
      </c>
      <c r="J21" s="24"/>
      <c r="K21" s="12" t="s">
        <v>30</v>
      </c>
      <c r="L21" s="16" t="s">
        <v>11</v>
      </c>
      <c r="M21" s="44">
        <v>3416670</v>
      </c>
      <c r="N21" s="45">
        <v>45929</v>
      </c>
      <c r="O21" s="18" t="s">
        <v>299</v>
      </c>
      <c r="P21" s="18" t="s">
        <v>300</v>
      </c>
      <c r="Q21" s="18" t="s">
        <v>301</v>
      </c>
      <c r="R21" s="16" t="s">
        <v>412</v>
      </c>
      <c r="S21" s="25"/>
    </row>
    <row r="22" spans="1:20" s="20" customFormat="1" x14ac:dyDescent="0.25">
      <c r="A22" s="10">
        <v>20</v>
      </c>
      <c r="B22" s="12" t="s">
        <v>102</v>
      </c>
      <c r="C22" s="12" t="s">
        <v>35</v>
      </c>
      <c r="D22" s="12" t="s">
        <v>178</v>
      </c>
      <c r="E22" s="22" t="s">
        <v>18</v>
      </c>
      <c r="F22" s="55" t="s">
        <v>302</v>
      </c>
      <c r="G22" s="52" t="s">
        <v>105</v>
      </c>
      <c r="H22" s="11" t="s">
        <v>303</v>
      </c>
      <c r="I22" s="11" t="s">
        <v>304</v>
      </c>
      <c r="J22" s="24"/>
      <c r="K22" s="12" t="s">
        <v>30</v>
      </c>
      <c r="L22" s="16" t="s">
        <v>11</v>
      </c>
      <c r="M22" s="44">
        <v>2551627</v>
      </c>
      <c r="N22" s="45">
        <v>45930</v>
      </c>
      <c r="O22" s="18" t="s">
        <v>305</v>
      </c>
      <c r="P22" s="18" t="s">
        <v>306</v>
      </c>
      <c r="Q22" s="18" t="s">
        <v>328</v>
      </c>
      <c r="R22" s="16" t="s">
        <v>412</v>
      </c>
      <c r="S22" s="25"/>
    </row>
    <row r="23" spans="1:20" s="20" customFormat="1" x14ac:dyDescent="0.25">
      <c r="A23" s="10">
        <v>21</v>
      </c>
      <c r="B23" s="16" t="s">
        <v>149</v>
      </c>
      <c r="C23" s="12" t="s">
        <v>35</v>
      </c>
      <c r="D23" s="12" t="s">
        <v>140</v>
      </c>
      <c r="E23" s="13" t="s">
        <v>37</v>
      </c>
      <c r="F23" s="55" t="s">
        <v>307</v>
      </c>
      <c r="G23" s="12" t="s">
        <v>151</v>
      </c>
      <c r="H23" s="11" t="s">
        <v>308</v>
      </c>
      <c r="I23" s="11" t="s">
        <v>309</v>
      </c>
      <c r="J23" s="15">
        <v>45908</v>
      </c>
      <c r="K23" s="12" t="s">
        <v>30</v>
      </c>
      <c r="L23" s="16" t="s">
        <v>11</v>
      </c>
      <c r="M23" s="44">
        <v>249994</v>
      </c>
      <c r="N23" s="45">
        <v>45930</v>
      </c>
      <c r="O23" s="18" t="s">
        <v>310</v>
      </c>
      <c r="P23" s="18" t="s">
        <v>311</v>
      </c>
      <c r="Q23" s="18" t="s">
        <v>329</v>
      </c>
      <c r="R23" s="16" t="s">
        <v>412</v>
      </c>
      <c r="S23" s="25"/>
    </row>
    <row r="24" spans="1:20" s="20" customFormat="1" x14ac:dyDescent="0.25">
      <c r="A24" s="10">
        <v>22</v>
      </c>
      <c r="B24" s="12" t="s">
        <v>56</v>
      </c>
      <c r="C24" s="12" t="s">
        <v>35</v>
      </c>
      <c r="D24" s="12" t="s">
        <v>195</v>
      </c>
      <c r="E24" s="13" t="s">
        <v>37</v>
      </c>
      <c r="F24" s="34" t="s">
        <v>312</v>
      </c>
      <c r="G24" s="12" t="s">
        <v>60</v>
      </c>
      <c r="H24" s="11" t="s">
        <v>313</v>
      </c>
      <c r="I24" s="11" t="s">
        <v>314</v>
      </c>
      <c r="J24" s="15">
        <v>45895</v>
      </c>
      <c r="K24" s="12" t="s">
        <v>30</v>
      </c>
      <c r="L24" s="16" t="s">
        <v>11</v>
      </c>
      <c r="M24" s="44">
        <v>2766307</v>
      </c>
      <c r="N24" s="45">
        <v>45930</v>
      </c>
      <c r="O24" s="18" t="s">
        <v>315</v>
      </c>
      <c r="P24" s="18" t="s">
        <v>316</v>
      </c>
      <c r="Q24" s="18" t="s">
        <v>330</v>
      </c>
      <c r="R24" s="16" t="s">
        <v>412</v>
      </c>
      <c r="S24" s="25"/>
    </row>
    <row r="25" spans="1:20" x14ac:dyDescent="0.25">
      <c r="A25" s="10">
        <v>23</v>
      </c>
      <c r="B25" s="60" t="s">
        <v>45</v>
      </c>
      <c r="C25" s="12" t="s">
        <v>317</v>
      </c>
      <c r="D25" s="12" t="s">
        <v>47</v>
      </c>
      <c r="E25" s="56" t="s">
        <v>237</v>
      </c>
      <c r="F25" s="57" t="s">
        <v>318</v>
      </c>
      <c r="G25" s="12" t="s">
        <v>49</v>
      </c>
      <c r="H25" s="11" t="s">
        <v>319</v>
      </c>
      <c r="I25" s="11" t="s">
        <v>320</v>
      </c>
      <c r="J25" s="12"/>
      <c r="K25" s="12" t="s">
        <v>30</v>
      </c>
      <c r="L25" s="16" t="s">
        <v>11</v>
      </c>
      <c r="M25" s="44">
        <v>209276</v>
      </c>
      <c r="N25" s="45">
        <v>45930</v>
      </c>
      <c r="O25" s="18" t="s">
        <v>321</v>
      </c>
      <c r="P25" s="18" t="s">
        <v>322</v>
      </c>
      <c r="Q25" s="61" t="s">
        <v>331</v>
      </c>
      <c r="R25" s="16" t="s">
        <v>412</v>
      </c>
      <c r="S25" s="58"/>
      <c r="T25" s="21"/>
    </row>
    <row r="26" spans="1:20" x14ac:dyDescent="0.25">
      <c r="A26" s="10">
        <v>24</v>
      </c>
      <c r="B26" s="12" t="s">
        <v>56</v>
      </c>
      <c r="C26" s="12" t="s">
        <v>323</v>
      </c>
      <c r="D26" s="12" t="s">
        <v>58</v>
      </c>
      <c r="E26" s="56" t="s">
        <v>237</v>
      </c>
      <c r="F26" s="57" t="s">
        <v>324</v>
      </c>
      <c r="G26" s="12" t="s">
        <v>60</v>
      </c>
      <c r="H26" s="12" t="s">
        <v>325</v>
      </c>
      <c r="I26" s="11" t="s">
        <v>211</v>
      </c>
      <c r="J26" s="12"/>
      <c r="K26" s="12" t="s">
        <v>30</v>
      </c>
      <c r="L26" s="16" t="s">
        <v>11</v>
      </c>
      <c r="M26" s="44">
        <v>264936</v>
      </c>
      <c r="N26" s="45">
        <v>45930</v>
      </c>
      <c r="O26" s="18" t="s">
        <v>326</v>
      </c>
      <c r="P26" s="18" t="s">
        <v>327</v>
      </c>
      <c r="Q26" s="18" t="s">
        <v>332</v>
      </c>
      <c r="R26" s="12" t="s">
        <v>413</v>
      </c>
      <c r="S26" s="58"/>
      <c r="T26" s="21"/>
    </row>
    <row r="27" spans="1:20" s="20" customFormat="1" x14ac:dyDescent="0.25">
      <c r="A27" s="10">
        <v>25</v>
      </c>
      <c r="B27" s="12" t="s">
        <v>24</v>
      </c>
      <c r="C27" s="12" t="s">
        <v>119</v>
      </c>
      <c r="D27" s="12" t="s">
        <v>333</v>
      </c>
      <c r="E27" s="13" t="s">
        <v>37</v>
      </c>
      <c r="F27" s="55" t="s">
        <v>334</v>
      </c>
      <c r="G27" s="12" t="s">
        <v>28</v>
      </c>
      <c r="H27" s="12" t="s">
        <v>335</v>
      </c>
      <c r="I27" s="12" t="s">
        <v>41</v>
      </c>
      <c r="J27" s="15">
        <v>45916</v>
      </c>
      <c r="K27" s="12" t="s">
        <v>30</v>
      </c>
      <c r="L27" s="16" t="s">
        <v>11</v>
      </c>
      <c r="M27" s="44">
        <v>258663</v>
      </c>
      <c r="N27" s="45">
        <v>45930</v>
      </c>
      <c r="O27" s="18" t="s">
        <v>336</v>
      </c>
      <c r="P27" s="18" t="s">
        <v>337</v>
      </c>
      <c r="Q27" t="s">
        <v>350</v>
      </c>
      <c r="R27" s="16"/>
      <c r="S27" s="25"/>
    </row>
    <row r="28" spans="1:20" s="20" customFormat="1" x14ac:dyDescent="0.25">
      <c r="A28" s="10">
        <v>26</v>
      </c>
      <c r="B28" s="16" t="s">
        <v>338</v>
      </c>
      <c r="C28" s="12" t="s">
        <v>46</v>
      </c>
      <c r="D28" s="12" t="s">
        <v>339</v>
      </c>
      <c r="E28" s="22" t="s">
        <v>18</v>
      </c>
      <c r="F28" s="55" t="s">
        <v>340</v>
      </c>
      <c r="G28" s="12" t="s">
        <v>341</v>
      </c>
      <c r="H28" s="11" t="s">
        <v>342</v>
      </c>
      <c r="I28" s="11" t="s">
        <v>20</v>
      </c>
      <c r="J28" s="15">
        <v>45868</v>
      </c>
      <c r="K28" s="12" t="s">
        <v>30</v>
      </c>
      <c r="L28" s="16" t="s">
        <v>11</v>
      </c>
      <c r="M28" s="44">
        <v>2971014</v>
      </c>
      <c r="N28" s="45">
        <v>45930</v>
      </c>
      <c r="O28" s="18" t="s">
        <v>343</v>
      </c>
      <c r="P28" s="18" t="s">
        <v>344</v>
      </c>
      <c r="Q28" s="18" t="s">
        <v>351</v>
      </c>
      <c r="R28" s="16" t="s">
        <v>412</v>
      </c>
      <c r="S28" s="25"/>
    </row>
    <row r="29" spans="1:20" x14ac:dyDescent="0.25">
      <c r="A29" s="10">
        <v>27</v>
      </c>
      <c r="B29" s="12" t="s">
        <v>56</v>
      </c>
      <c r="C29" s="12" t="s">
        <v>35</v>
      </c>
      <c r="D29" s="12" t="s">
        <v>195</v>
      </c>
      <c r="E29" s="56" t="s">
        <v>237</v>
      </c>
      <c r="F29" s="55" t="s">
        <v>345</v>
      </c>
      <c r="G29" s="12" t="s">
        <v>60</v>
      </c>
      <c r="H29" s="12" t="s">
        <v>346</v>
      </c>
      <c r="I29" s="11" t="s">
        <v>347</v>
      </c>
      <c r="J29" s="12"/>
      <c r="K29" s="12" t="s">
        <v>30</v>
      </c>
      <c r="L29" s="16" t="s">
        <v>11</v>
      </c>
      <c r="M29" s="12"/>
      <c r="N29" s="45">
        <v>45930</v>
      </c>
      <c r="O29" s="18" t="s">
        <v>348</v>
      </c>
      <c r="P29" s="18" t="s">
        <v>349</v>
      </c>
      <c r="Q29" s="18" t="s">
        <v>370</v>
      </c>
      <c r="R29" s="16" t="s">
        <v>412</v>
      </c>
      <c r="S29" s="58"/>
      <c r="T29" s="21"/>
    </row>
    <row r="30" spans="1:20" s="20" customFormat="1" x14ac:dyDescent="0.25">
      <c r="A30" s="10">
        <v>28</v>
      </c>
      <c r="B30" s="12" t="s">
        <v>102</v>
      </c>
      <c r="C30" s="12" t="s">
        <v>85</v>
      </c>
      <c r="D30" s="12" t="s">
        <v>178</v>
      </c>
      <c r="E30" s="13" t="s">
        <v>37</v>
      </c>
      <c r="F30" s="14" t="s">
        <v>371</v>
      </c>
      <c r="G30" s="12" t="s">
        <v>105</v>
      </c>
      <c r="H30" s="12" t="s">
        <v>372</v>
      </c>
      <c r="I30" s="12" t="s">
        <v>320</v>
      </c>
      <c r="J30" s="15">
        <v>45926</v>
      </c>
      <c r="K30" s="12" t="s">
        <v>30</v>
      </c>
      <c r="L30" s="16" t="s">
        <v>11</v>
      </c>
      <c r="M30" s="44">
        <v>3272327</v>
      </c>
      <c r="N30" s="45">
        <v>45930</v>
      </c>
      <c r="O30" s="18" t="s">
        <v>373</v>
      </c>
      <c r="P30" s="18" t="s">
        <v>374</v>
      </c>
      <c r="Q30" s="18" t="s">
        <v>375</v>
      </c>
      <c r="R30" s="16" t="s">
        <v>412</v>
      </c>
      <c r="S30" s="25"/>
    </row>
    <row r="31" spans="1:20" s="20" customFormat="1" x14ac:dyDescent="0.25">
      <c r="A31" s="10">
        <v>29</v>
      </c>
      <c r="B31" s="16" t="s">
        <v>376</v>
      </c>
      <c r="C31" s="12" t="s">
        <v>363</v>
      </c>
      <c r="D31" s="12" t="s">
        <v>68</v>
      </c>
      <c r="E31" s="22" t="s">
        <v>18</v>
      </c>
      <c r="F31" s="55" t="s">
        <v>377</v>
      </c>
      <c r="G31" s="12" t="s">
        <v>378</v>
      </c>
      <c r="H31" s="11" t="s">
        <v>379</v>
      </c>
      <c r="I31" s="11" t="s">
        <v>227</v>
      </c>
      <c r="J31" s="15">
        <v>45916</v>
      </c>
      <c r="K31" s="12" t="s">
        <v>30</v>
      </c>
      <c r="L31" s="16" t="s">
        <v>11</v>
      </c>
      <c r="M31" s="44">
        <v>259630</v>
      </c>
      <c r="N31" s="45">
        <v>45930</v>
      </c>
      <c r="O31" s="18" t="s">
        <v>380</v>
      </c>
      <c r="P31" s="18" t="s">
        <v>381</v>
      </c>
      <c r="Q31" s="18" t="s">
        <v>386</v>
      </c>
      <c r="R31" s="16" t="s">
        <v>412</v>
      </c>
      <c r="S31" s="25"/>
    </row>
    <row r="32" spans="1:20" s="20" customFormat="1" x14ac:dyDescent="0.25">
      <c r="A32" s="10">
        <v>30</v>
      </c>
      <c r="B32" s="12" t="s">
        <v>102</v>
      </c>
      <c r="C32" s="12" t="s">
        <v>35</v>
      </c>
      <c r="D32" s="12" t="s">
        <v>178</v>
      </c>
      <c r="E32" s="13" t="s">
        <v>37</v>
      </c>
      <c r="F32" s="55" t="s">
        <v>382</v>
      </c>
      <c r="G32" s="12" t="s">
        <v>105</v>
      </c>
      <c r="H32" s="18" t="s">
        <v>383</v>
      </c>
      <c r="I32" s="11" t="s">
        <v>320</v>
      </c>
      <c r="J32" s="15">
        <v>45928</v>
      </c>
      <c r="K32" s="12" t="s">
        <v>30</v>
      </c>
      <c r="L32" s="16" t="s">
        <v>11</v>
      </c>
      <c r="M32" s="44">
        <v>211298</v>
      </c>
      <c r="N32" s="45">
        <v>45930</v>
      </c>
      <c r="O32" s="18" t="s">
        <v>384</v>
      </c>
      <c r="P32" s="18" t="s">
        <v>385</v>
      </c>
      <c r="Q32" s="18" t="s">
        <v>387</v>
      </c>
      <c r="R32" s="16" t="s">
        <v>412</v>
      </c>
      <c r="S32" s="25"/>
    </row>
    <row r="33" spans="1:22" s="20" customFormat="1" x14ac:dyDescent="0.25">
      <c r="A33" s="10"/>
      <c r="B33" s="24"/>
      <c r="C33" s="12"/>
      <c r="D33" s="12"/>
      <c r="E33" s="13"/>
      <c r="F33" s="69" t="s">
        <v>22</v>
      </c>
      <c r="G33" s="69"/>
      <c r="H33" s="69"/>
      <c r="I33" s="69"/>
      <c r="J33" s="15"/>
      <c r="K33" s="12"/>
      <c r="L33" s="16"/>
      <c r="M33" s="13"/>
      <c r="N33" s="17"/>
      <c r="O33" s="39"/>
      <c r="P33" s="39"/>
      <c r="Q33" s="18"/>
      <c r="R33" s="25"/>
      <c r="S33"/>
    </row>
    <row r="34" spans="1:22" s="20" customFormat="1" x14ac:dyDescent="0.25">
      <c r="A34" s="10">
        <v>1</v>
      </c>
      <c r="B34" s="24" t="s">
        <v>287</v>
      </c>
      <c r="C34" s="12" t="s">
        <v>119</v>
      </c>
      <c r="D34" s="12" t="s">
        <v>268</v>
      </c>
      <c r="E34" s="13"/>
      <c r="F34" s="13" t="s">
        <v>259</v>
      </c>
      <c r="G34" s="12" t="s">
        <v>267</v>
      </c>
      <c r="H34" s="64"/>
      <c r="I34" s="9"/>
      <c r="J34" s="15"/>
      <c r="K34" s="12"/>
      <c r="L34" s="16" t="s">
        <v>397</v>
      </c>
      <c r="M34" s="40">
        <v>45927</v>
      </c>
      <c r="N34" s="17"/>
      <c r="O34" s="12" t="s">
        <v>271</v>
      </c>
      <c r="P34" s="12" t="s">
        <v>279</v>
      </c>
      <c r="Q34" s="18"/>
      <c r="R34" s="25"/>
      <c r="S34"/>
    </row>
    <row r="35" spans="1:22" s="20" customFormat="1" x14ac:dyDescent="0.25">
      <c r="A35" s="10">
        <v>2</v>
      </c>
      <c r="B35" s="11" t="s">
        <v>45</v>
      </c>
      <c r="C35" s="12" t="s">
        <v>46</v>
      </c>
      <c r="D35" s="12" t="s">
        <v>47</v>
      </c>
      <c r="E35" s="13"/>
      <c r="F35" s="13" t="s">
        <v>260</v>
      </c>
      <c r="G35" s="12" t="s">
        <v>49</v>
      </c>
      <c r="H35" s="64"/>
      <c r="I35" s="9"/>
      <c r="J35" s="15"/>
      <c r="K35" s="12"/>
      <c r="L35" s="16" t="s">
        <v>399</v>
      </c>
      <c r="M35" s="40">
        <v>45927</v>
      </c>
      <c r="N35" s="17"/>
      <c r="O35" s="12" t="s">
        <v>272</v>
      </c>
      <c r="P35" s="12" t="s">
        <v>280</v>
      </c>
      <c r="Q35" s="18"/>
      <c r="R35" s="25"/>
      <c r="S35"/>
    </row>
    <row r="36" spans="1:22" s="20" customFormat="1" x14ac:dyDescent="0.25">
      <c r="A36" s="10">
        <v>3</v>
      </c>
      <c r="B36" s="11" t="s">
        <v>45</v>
      </c>
      <c r="C36" s="12" t="s">
        <v>35</v>
      </c>
      <c r="D36" s="12" t="s">
        <v>269</v>
      </c>
      <c r="E36" s="13"/>
      <c r="F36" s="13" t="s">
        <v>261</v>
      </c>
      <c r="G36" s="12" t="s">
        <v>49</v>
      </c>
      <c r="H36" s="64"/>
      <c r="I36" s="9"/>
      <c r="J36" s="15"/>
      <c r="K36" s="12"/>
      <c r="L36" s="16" t="s">
        <v>400</v>
      </c>
      <c r="M36" s="40">
        <v>45927</v>
      </c>
      <c r="N36" s="17"/>
      <c r="O36" s="12" t="s">
        <v>273</v>
      </c>
      <c r="P36" s="12" t="s">
        <v>281</v>
      </c>
      <c r="Q36" s="18"/>
      <c r="R36" s="25"/>
      <c r="S36"/>
    </row>
    <row r="37" spans="1:22" s="20" customFormat="1" x14ac:dyDescent="0.25">
      <c r="A37" s="10">
        <v>4</v>
      </c>
      <c r="B37" s="24" t="s">
        <v>288</v>
      </c>
      <c r="C37" s="12" t="s">
        <v>363</v>
      </c>
      <c r="D37" s="12" t="s">
        <v>86</v>
      </c>
      <c r="E37" s="13"/>
      <c r="F37" s="13" t="s">
        <v>262</v>
      </c>
      <c r="G37" s="12" t="s">
        <v>105</v>
      </c>
      <c r="H37" s="64"/>
      <c r="I37" s="9"/>
      <c r="J37" s="15"/>
      <c r="K37" s="12"/>
      <c r="L37" s="16" t="s">
        <v>401</v>
      </c>
      <c r="M37" s="40">
        <v>45927</v>
      </c>
      <c r="N37" s="17"/>
      <c r="O37" s="12" t="s">
        <v>274</v>
      </c>
      <c r="P37" s="12" t="s">
        <v>282</v>
      </c>
      <c r="Q37" s="18"/>
      <c r="R37" s="25"/>
      <c r="S37"/>
    </row>
    <row r="38" spans="1:22" s="20" customFormat="1" x14ac:dyDescent="0.25">
      <c r="A38" s="10">
        <v>5</v>
      </c>
      <c r="B38" s="24" t="s">
        <v>289</v>
      </c>
      <c r="C38" s="12" t="s">
        <v>67</v>
      </c>
      <c r="D38" s="12" t="s">
        <v>68</v>
      </c>
      <c r="E38" s="13"/>
      <c r="F38" s="13" t="s">
        <v>263</v>
      </c>
      <c r="G38" s="12" t="s">
        <v>70</v>
      </c>
      <c r="H38" s="64"/>
      <c r="I38" s="9"/>
      <c r="J38" s="15"/>
      <c r="K38" s="12"/>
      <c r="L38" s="16" t="s">
        <v>398</v>
      </c>
      <c r="M38" s="40">
        <v>45927</v>
      </c>
      <c r="N38" s="17"/>
      <c r="O38" s="12" t="s">
        <v>275</v>
      </c>
      <c r="P38" s="12" t="s">
        <v>283</v>
      </c>
      <c r="Q38" s="18"/>
      <c r="R38" s="25"/>
      <c r="S38"/>
    </row>
    <row r="39" spans="1:22" s="20" customFormat="1" x14ac:dyDescent="0.25">
      <c r="A39" s="10">
        <v>6</v>
      </c>
      <c r="B39" s="24" t="s">
        <v>290</v>
      </c>
      <c r="C39" s="12" t="s">
        <v>35</v>
      </c>
      <c r="D39" s="12" t="s">
        <v>195</v>
      </c>
      <c r="E39" s="13"/>
      <c r="F39" s="13" t="s">
        <v>264</v>
      </c>
      <c r="G39" s="12" t="s">
        <v>60</v>
      </c>
      <c r="H39" s="63"/>
      <c r="I39" s="12"/>
      <c r="J39" s="15"/>
      <c r="K39" s="16"/>
      <c r="L39" s="16" t="s">
        <v>410</v>
      </c>
      <c r="M39" s="40">
        <v>45927</v>
      </c>
      <c r="N39" s="13"/>
      <c r="O39" s="12" t="s">
        <v>276</v>
      </c>
      <c r="P39" s="12" t="s">
        <v>284</v>
      </c>
      <c r="Q39" s="16"/>
      <c r="R39" s="16"/>
      <c r="S39" s="25"/>
      <c r="T39" s="36"/>
      <c r="U39" s="16"/>
    </row>
    <row r="40" spans="1:22" s="20" customFormat="1" x14ac:dyDescent="0.25">
      <c r="A40" s="10">
        <v>7</v>
      </c>
      <c r="B40" s="24" t="s">
        <v>290</v>
      </c>
      <c r="C40" s="12" t="s">
        <v>270</v>
      </c>
      <c r="D40" s="12" t="s">
        <v>58</v>
      </c>
      <c r="E40" s="13"/>
      <c r="F40" s="13" t="s">
        <v>265</v>
      </c>
      <c r="G40" s="12" t="s">
        <v>60</v>
      </c>
      <c r="H40" s="12"/>
      <c r="I40" s="12"/>
      <c r="J40" s="15"/>
      <c r="K40" s="16"/>
      <c r="L40" s="16" t="s">
        <v>402</v>
      </c>
      <c r="M40" s="40">
        <v>45927</v>
      </c>
      <c r="N40" s="13"/>
      <c r="O40" s="12" t="s">
        <v>277</v>
      </c>
      <c r="P40" s="12" t="s">
        <v>285</v>
      </c>
      <c r="Q40" s="35"/>
      <c r="R40" s="16"/>
      <c r="S40" s="25"/>
      <c r="T40" s="32"/>
      <c r="U40" s="12"/>
    </row>
    <row r="41" spans="1:22" s="20" customFormat="1" x14ac:dyDescent="0.25">
      <c r="A41" s="10">
        <v>8</v>
      </c>
      <c r="B41" s="24" t="s">
        <v>288</v>
      </c>
      <c r="C41" s="12" t="s">
        <v>35</v>
      </c>
      <c r="D41" s="12" t="s">
        <v>178</v>
      </c>
      <c r="E41" s="13"/>
      <c r="F41" s="13" t="s">
        <v>360</v>
      </c>
      <c r="G41" s="12" t="s">
        <v>105</v>
      </c>
      <c r="H41" s="12"/>
      <c r="I41" s="12"/>
      <c r="J41" s="15"/>
      <c r="K41" s="16"/>
      <c r="L41" s="16" t="s">
        <v>405</v>
      </c>
      <c r="M41" s="40">
        <v>45929</v>
      </c>
      <c r="N41" s="13"/>
      <c r="O41" s="12" t="s">
        <v>364</v>
      </c>
      <c r="P41" s="12" t="s">
        <v>367</v>
      </c>
      <c r="Q41" s="35"/>
      <c r="R41" s="16"/>
      <c r="S41" s="25"/>
      <c r="T41" s="32"/>
      <c r="U41" s="12"/>
    </row>
    <row r="42" spans="1:22" s="20" customFormat="1" x14ac:dyDescent="0.25">
      <c r="A42" s="10">
        <v>9</v>
      </c>
      <c r="B42" s="16" t="s">
        <v>149</v>
      </c>
      <c r="C42" s="12" t="s">
        <v>363</v>
      </c>
      <c r="D42" s="12" t="s">
        <v>163</v>
      </c>
      <c r="E42" s="13"/>
      <c r="F42" s="13" t="s">
        <v>361</v>
      </c>
      <c r="G42" s="12" t="s">
        <v>151</v>
      </c>
      <c r="H42" s="12"/>
      <c r="I42" s="12"/>
      <c r="J42" s="15"/>
      <c r="K42" s="16"/>
      <c r="L42" s="16" t="s">
        <v>406</v>
      </c>
      <c r="M42" s="40">
        <v>45929</v>
      </c>
      <c r="N42" s="13"/>
      <c r="O42" s="12" t="s">
        <v>365</v>
      </c>
      <c r="P42" s="12" t="s">
        <v>368</v>
      </c>
      <c r="Q42" s="35"/>
      <c r="R42" s="16"/>
      <c r="S42" s="25"/>
      <c r="T42" s="32"/>
      <c r="U42" s="12"/>
    </row>
    <row r="43" spans="1:22" s="20" customFormat="1" x14ac:dyDescent="0.25">
      <c r="A43" s="10">
        <v>10</v>
      </c>
      <c r="B43" s="16" t="s">
        <v>149</v>
      </c>
      <c r="C43" s="12" t="s">
        <v>363</v>
      </c>
      <c r="D43" s="12" t="s">
        <v>163</v>
      </c>
      <c r="E43" s="13"/>
      <c r="F43" s="13" t="s">
        <v>362</v>
      </c>
      <c r="G43" s="12" t="s">
        <v>151</v>
      </c>
      <c r="H43" s="5"/>
      <c r="I43" s="12"/>
      <c r="J43" s="15"/>
      <c r="K43" s="16"/>
      <c r="L43" s="16" t="s">
        <v>404</v>
      </c>
      <c r="M43" s="40">
        <v>45929</v>
      </c>
      <c r="N43" s="13"/>
      <c r="O43" s="12" t="s">
        <v>366</v>
      </c>
      <c r="P43" s="12" t="s">
        <v>369</v>
      </c>
      <c r="Q43" s="35"/>
      <c r="R43" s="16"/>
      <c r="S43"/>
      <c r="T43"/>
      <c r="U43"/>
      <c r="V43"/>
    </row>
    <row r="44" spans="1:22" s="20" customFormat="1" x14ac:dyDescent="0.25">
      <c r="A44" s="10">
        <v>11</v>
      </c>
      <c r="B44" s="11" t="s">
        <v>139</v>
      </c>
      <c r="C44" s="12" t="s">
        <v>363</v>
      </c>
      <c r="D44" s="12" t="s">
        <v>163</v>
      </c>
      <c r="E44" s="13"/>
      <c r="F44" s="13" t="s">
        <v>266</v>
      </c>
      <c r="G44" s="12" t="s">
        <v>142</v>
      </c>
      <c r="H44" s="5"/>
      <c r="I44" s="12"/>
      <c r="J44" s="15"/>
      <c r="K44" s="16"/>
      <c r="L44" s="16" t="s">
        <v>403</v>
      </c>
      <c r="M44" s="40">
        <v>45929</v>
      </c>
      <c r="N44" s="13"/>
      <c r="O44" s="12" t="s">
        <v>278</v>
      </c>
      <c r="P44" s="12" t="s">
        <v>286</v>
      </c>
      <c r="Q44" s="35"/>
      <c r="R44" s="16"/>
      <c r="S44"/>
      <c r="T44"/>
      <c r="U44"/>
      <c r="V44"/>
    </row>
    <row r="45" spans="1:22" s="20" customFormat="1" x14ac:dyDescent="0.25">
      <c r="A45" s="10">
        <v>12</v>
      </c>
      <c r="B45" s="11" t="s">
        <v>243</v>
      </c>
      <c r="C45" s="12" t="s">
        <v>35</v>
      </c>
      <c r="D45" s="12" t="s">
        <v>245</v>
      </c>
      <c r="E45" s="13"/>
      <c r="F45" s="13" t="s">
        <v>389</v>
      </c>
      <c r="G45" s="12" t="s">
        <v>247</v>
      </c>
      <c r="H45" s="5"/>
      <c r="I45" s="12"/>
      <c r="J45" s="15"/>
      <c r="K45" s="16"/>
      <c r="L45" s="16" t="s">
        <v>407</v>
      </c>
      <c r="M45" s="40">
        <v>45930</v>
      </c>
      <c r="N45" s="13"/>
      <c r="O45" s="12" t="s">
        <v>390</v>
      </c>
      <c r="P45" s="12" t="s">
        <v>392</v>
      </c>
      <c r="Q45" s="35"/>
      <c r="R45" s="16"/>
      <c r="S45"/>
      <c r="T45"/>
      <c r="U45"/>
      <c r="V45"/>
    </row>
    <row r="46" spans="1:22" s="20" customFormat="1" x14ac:dyDescent="0.25">
      <c r="A46" s="10">
        <v>13</v>
      </c>
      <c r="B46" s="11" t="s">
        <v>45</v>
      </c>
      <c r="C46" s="12" t="s">
        <v>46</v>
      </c>
      <c r="D46" s="12" t="s">
        <v>47</v>
      </c>
      <c r="E46" s="13"/>
      <c r="F46" s="13" t="s">
        <v>388</v>
      </c>
      <c r="G46" s="12" t="s">
        <v>49</v>
      </c>
      <c r="H46" s="5"/>
      <c r="I46" s="12"/>
      <c r="J46" s="15"/>
      <c r="K46" s="16"/>
      <c r="L46" s="16" t="s">
        <v>408</v>
      </c>
      <c r="M46" s="40">
        <v>45930</v>
      </c>
      <c r="N46" s="13"/>
      <c r="O46" s="12" t="s">
        <v>391</v>
      </c>
      <c r="P46" s="12" t="s">
        <v>393</v>
      </c>
      <c r="Q46" s="35"/>
      <c r="R46" s="16"/>
      <c r="S46"/>
      <c r="T46"/>
      <c r="U46"/>
      <c r="V46"/>
    </row>
    <row r="47" spans="1:22" s="20" customFormat="1" x14ac:dyDescent="0.25">
      <c r="A47" s="10">
        <v>14</v>
      </c>
      <c r="B47" s="24" t="s">
        <v>288</v>
      </c>
      <c r="C47" s="12" t="s">
        <v>363</v>
      </c>
      <c r="D47" s="66" t="s">
        <v>86</v>
      </c>
      <c r="E47" s="13"/>
      <c r="F47" s="13" t="s">
        <v>394</v>
      </c>
      <c r="G47" s="12" t="s">
        <v>105</v>
      </c>
      <c r="H47" s="65"/>
      <c r="I47" s="63"/>
      <c r="J47" s="15"/>
      <c r="K47" s="16"/>
      <c r="L47" s="16" t="s">
        <v>409</v>
      </c>
      <c r="M47" s="40">
        <v>45930</v>
      </c>
      <c r="N47" s="13"/>
      <c r="O47" s="12" t="s">
        <v>395</v>
      </c>
      <c r="P47" s="12" t="s">
        <v>396</v>
      </c>
      <c r="Q47" s="35"/>
      <c r="R47" s="16"/>
      <c r="S47"/>
      <c r="T47"/>
      <c r="U47"/>
      <c r="V47"/>
    </row>
    <row r="48" spans="1:22" x14ac:dyDescent="0.25">
      <c r="A48" s="10"/>
      <c r="B48" s="11"/>
      <c r="C48" s="12"/>
      <c r="D48" s="12"/>
      <c r="E48" s="33"/>
      <c r="F48" s="70" t="s">
        <v>23</v>
      </c>
      <c r="G48" s="71"/>
      <c r="H48" s="71"/>
      <c r="I48" s="72"/>
      <c r="J48" s="15"/>
      <c r="K48" s="11"/>
      <c r="L48" s="16"/>
      <c r="M48" s="28"/>
      <c r="N48" s="17"/>
      <c r="O48" s="18"/>
      <c r="P48" s="18"/>
      <c r="Q48" s="12"/>
      <c r="R48" s="12"/>
      <c r="T48" s="20"/>
      <c r="U48" s="20"/>
    </row>
    <row r="49" spans="1:21" s="20" customFormat="1" x14ac:dyDescent="0.25">
      <c r="A49" s="26">
        <v>1</v>
      </c>
      <c r="B49" s="13" t="s">
        <v>45</v>
      </c>
      <c r="C49" s="12" t="s">
        <v>46</v>
      </c>
      <c r="D49" s="12" t="s">
        <v>47</v>
      </c>
      <c r="E49" s="22" t="s">
        <v>18</v>
      </c>
      <c r="F49" s="14" t="s">
        <v>48</v>
      </c>
      <c r="G49" s="12" t="s">
        <v>49</v>
      </c>
      <c r="H49" s="12" t="s">
        <v>50</v>
      </c>
      <c r="I49" s="12" t="s">
        <v>51</v>
      </c>
      <c r="J49" s="27" t="s">
        <v>52</v>
      </c>
      <c r="K49" s="16"/>
      <c r="L49" s="16" t="s">
        <v>53</v>
      </c>
      <c r="M49" s="27">
        <v>45813</v>
      </c>
      <c r="N49" s="13">
        <f t="shared" ref="N49:N60" ca="1" si="0">TODAY()-M49</f>
        <v>168</v>
      </c>
      <c r="O49" s="39" t="s">
        <v>54</v>
      </c>
      <c r="P49" s="39" t="s">
        <v>55</v>
      </c>
      <c r="Q49" s="16"/>
      <c r="R49" s="16"/>
      <c r="S49" s="25"/>
      <c r="T49" s="32">
        <v>45748</v>
      </c>
      <c r="U49" s="12"/>
    </row>
    <row r="50" spans="1:21" s="20" customFormat="1" x14ac:dyDescent="0.25">
      <c r="A50" s="26">
        <v>2</v>
      </c>
      <c r="B50" s="13" t="s">
        <v>56</v>
      </c>
      <c r="C50" s="12" t="s">
        <v>57</v>
      </c>
      <c r="D50" s="12" t="s">
        <v>58</v>
      </c>
      <c r="E50" s="13" t="s">
        <v>37</v>
      </c>
      <c r="F50" s="14" t="s">
        <v>59</v>
      </c>
      <c r="G50" s="12" t="s">
        <v>60</v>
      </c>
      <c r="H50" s="12" t="s">
        <v>61</v>
      </c>
      <c r="I50" s="12" t="s">
        <v>62</v>
      </c>
      <c r="J50" s="27" t="s">
        <v>52</v>
      </c>
      <c r="K50" s="16"/>
      <c r="L50" s="16" t="s">
        <v>63</v>
      </c>
      <c r="M50" s="27">
        <v>45798</v>
      </c>
      <c r="N50" s="13">
        <f t="shared" ca="1" si="0"/>
        <v>183</v>
      </c>
      <c r="O50" s="39" t="s">
        <v>64</v>
      </c>
      <c r="P50" s="39" t="s">
        <v>65</v>
      </c>
      <c r="Q50" s="16"/>
      <c r="R50" s="16"/>
      <c r="S50" s="25"/>
      <c r="T50" s="36">
        <v>45658</v>
      </c>
      <c r="U50" s="16"/>
    </row>
    <row r="51" spans="1:21" s="20" customFormat="1" x14ac:dyDescent="0.25">
      <c r="A51" s="26">
        <v>3</v>
      </c>
      <c r="B51" s="46" t="s">
        <v>66</v>
      </c>
      <c r="C51" s="12" t="s">
        <v>67</v>
      </c>
      <c r="D51" s="12" t="s">
        <v>68</v>
      </c>
      <c r="E51" s="13" t="s">
        <v>37</v>
      </c>
      <c r="F51" s="14" t="s">
        <v>69</v>
      </c>
      <c r="G51" s="12" t="s">
        <v>70</v>
      </c>
      <c r="H51" s="12" t="s">
        <v>71</v>
      </c>
      <c r="I51" s="12" t="s">
        <v>72</v>
      </c>
      <c r="J51" s="27" t="s">
        <v>52</v>
      </c>
      <c r="K51" s="16"/>
      <c r="L51" s="12" t="s">
        <v>73</v>
      </c>
      <c r="M51" s="27">
        <v>45803</v>
      </c>
      <c r="N51" s="13">
        <f t="shared" ca="1" si="0"/>
        <v>178</v>
      </c>
      <c r="O51" s="39" t="s">
        <v>74</v>
      </c>
      <c r="P51" s="39" t="s">
        <v>75</v>
      </c>
      <c r="Q51" s="16"/>
      <c r="R51" s="16"/>
      <c r="S51" s="25"/>
      <c r="T51" s="32">
        <v>45748</v>
      </c>
      <c r="U51" s="12"/>
    </row>
    <row r="52" spans="1:21" s="20" customFormat="1" x14ac:dyDescent="0.25">
      <c r="A52" s="26">
        <v>4</v>
      </c>
      <c r="B52" s="46" t="s">
        <v>66</v>
      </c>
      <c r="C52" s="12" t="s">
        <v>76</v>
      </c>
      <c r="D52" s="12" t="s">
        <v>77</v>
      </c>
      <c r="E52" s="13" t="s">
        <v>37</v>
      </c>
      <c r="F52" s="14" t="s">
        <v>78</v>
      </c>
      <c r="G52" s="12" t="s">
        <v>70</v>
      </c>
      <c r="H52" s="12" t="s">
        <v>79</v>
      </c>
      <c r="I52" s="12" t="s">
        <v>80</v>
      </c>
      <c r="J52" s="27" t="s">
        <v>52</v>
      </c>
      <c r="K52" s="16"/>
      <c r="L52" s="12" t="s">
        <v>81</v>
      </c>
      <c r="M52" s="43">
        <v>45776</v>
      </c>
      <c r="N52" s="13">
        <f t="shared" ca="1" si="0"/>
        <v>205</v>
      </c>
      <c r="O52" s="18" t="s">
        <v>82</v>
      </c>
      <c r="P52" s="23" t="s">
        <v>83</v>
      </c>
      <c r="Q52" s="16"/>
      <c r="R52" s="16"/>
      <c r="S52" s="16"/>
      <c r="T52" s="36">
        <v>45748</v>
      </c>
      <c r="U52" s="16"/>
    </row>
    <row r="53" spans="1:21" s="20" customFormat="1" x14ac:dyDescent="0.25">
      <c r="A53" s="26">
        <v>5</v>
      </c>
      <c r="B53" s="46" t="s">
        <v>84</v>
      </c>
      <c r="C53" s="12" t="s">
        <v>85</v>
      </c>
      <c r="D53" s="11" t="s">
        <v>86</v>
      </c>
      <c r="E53" s="13" t="s">
        <v>37</v>
      </c>
      <c r="F53" s="14" t="s">
        <v>87</v>
      </c>
      <c r="G53" s="12" t="s">
        <v>88</v>
      </c>
      <c r="H53" s="47" t="s">
        <v>89</v>
      </c>
      <c r="I53" s="47" t="s">
        <v>90</v>
      </c>
      <c r="J53" s="27" t="s">
        <v>52</v>
      </c>
      <c r="K53" s="16"/>
      <c r="L53" s="48" t="s">
        <v>91</v>
      </c>
      <c r="M53" s="49">
        <v>45489</v>
      </c>
      <c r="N53" s="13">
        <f t="shared" ca="1" si="0"/>
        <v>492</v>
      </c>
      <c r="O53" s="39" t="s">
        <v>92</v>
      </c>
      <c r="P53" s="39" t="s">
        <v>93</v>
      </c>
      <c r="Q53" s="40"/>
      <c r="R53" s="16"/>
      <c r="S53" s="25"/>
      <c r="T53" s="36">
        <v>45413</v>
      </c>
      <c r="U53" s="16"/>
    </row>
    <row r="54" spans="1:21" s="20" customFormat="1" x14ac:dyDescent="0.25">
      <c r="A54" s="26">
        <v>6</v>
      </c>
      <c r="B54" s="41" t="s">
        <v>94</v>
      </c>
      <c r="C54" s="37" t="s">
        <v>67</v>
      </c>
      <c r="D54" s="37" t="s">
        <v>68</v>
      </c>
      <c r="E54" s="13" t="s">
        <v>37</v>
      </c>
      <c r="F54" s="41" t="s">
        <v>95</v>
      </c>
      <c r="G54" s="37" t="s">
        <v>96</v>
      </c>
      <c r="H54" s="12" t="s">
        <v>97</v>
      </c>
      <c r="I54" s="12" t="s">
        <v>98</v>
      </c>
      <c r="J54" s="27" t="s">
        <v>52</v>
      </c>
      <c r="K54" s="12"/>
      <c r="L54" s="37" t="s">
        <v>99</v>
      </c>
      <c r="M54" s="38">
        <v>45565</v>
      </c>
      <c r="N54" s="13">
        <f t="shared" ca="1" si="0"/>
        <v>416</v>
      </c>
      <c r="O54" s="37" t="s">
        <v>100</v>
      </c>
      <c r="P54" s="50" t="s">
        <v>101</v>
      </c>
      <c r="Q54" s="51"/>
      <c r="R54" s="16"/>
      <c r="S54" s="16"/>
      <c r="T54" s="36">
        <v>45413</v>
      </c>
      <c r="U54" s="16"/>
    </row>
    <row r="55" spans="1:21" s="20" customFormat="1" x14ac:dyDescent="0.25">
      <c r="A55" s="26">
        <v>7</v>
      </c>
      <c r="B55" s="13" t="s">
        <v>102</v>
      </c>
      <c r="C55" s="12" t="s">
        <v>85</v>
      </c>
      <c r="D55" s="12" t="s">
        <v>103</v>
      </c>
      <c r="E55" s="13" t="s">
        <v>37</v>
      </c>
      <c r="F55" s="14" t="s">
        <v>104</v>
      </c>
      <c r="G55" s="12" t="s">
        <v>105</v>
      </c>
      <c r="H55" s="12" t="s">
        <v>106</v>
      </c>
      <c r="I55" s="12" t="s">
        <v>107</v>
      </c>
      <c r="J55" s="27" t="s">
        <v>52</v>
      </c>
      <c r="K55" s="16"/>
      <c r="L55" s="16" t="s">
        <v>108</v>
      </c>
      <c r="M55" s="27">
        <v>45803</v>
      </c>
      <c r="N55" s="13">
        <f t="shared" ca="1" si="0"/>
        <v>178</v>
      </c>
      <c r="O55" s="12" t="s">
        <v>109</v>
      </c>
      <c r="P55" s="12" t="s">
        <v>110</v>
      </c>
      <c r="Q55" s="16"/>
      <c r="R55" s="16"/>
      <c r="S55" s="25"/>
      <c r="T55" s="32">
        <v>45689</v>
      </c>
      <c r="U55" s="12"/>
    </row>
    <row r="56" spans="1:21" s="20" customFormat="1" x14ac:dyDescent="0.25">
      <c r="A56" s="26">
        <v>8</v>
      </c>
      <c r="B56" s="13" t="s">
        <v>45</v>
      </c>
      <c r="C56" s="12" t="s">
        <v>111</v>
      </c>
      <c r="D56" s="52" t="s">
        <v>112</v>
      </c>
      <c r="E56" s="13" t="s">
        <v>37</v>
      </c>
      <c r="F56" s="14" t="s">
        <v>113</v>
      </c>
      <c r="G56" s="12" t="s">
        <v>49</v>
      </c>
      <c r="H56" s="12" t="s">
        <v>114</v>
      </c>
      <c r="I56" s="12" t="s">
        <v>115</v>
      </c>
      <c r="J56" s="27" t="s">
        <v>52</v>
      </c>
      <c r="K56" s="42"/>
      <c r="L56" s="12" t="s">
        <v>116</v>
      </c>
      <c r="M56" s="43">
        <v>45721</v>
      </c>
      <c r="N56" s="13">
        <f t="shared" ca="1" si="0"/>
        <v>260</v>
      </c>
      <c r="O56" s="39" t="s">
        <v>117</v>
      </c>
      <c r="P56" s="23" t="s">
        <v>118</v>
      </c>
      <c r="Q56" s="16"/>
      <c r="R56" s="35"/>
      <c r="S56" s="25"/>
      <c r="T56" s="36">
        <v>45658</v>
      </c>
      <c r="U56" s="16"/>
    </row>
    <row r="57" spans="1:21" s="20" customFormat="1" x14ac:dyDescent="0.25">
      <c r="A57" s="26">
        <v>9</v>
      </c>
      <c r="B57" s="13" t="s">
        <v>45</v>
      </c>
      <c r="C57" s="12" t="s">
        <v>119</v>
      </c>
      <c r="D57" s="12" t="s">
        <v>77</v>
      </c>
      <c r="E57" s="22" t="s">
        <v>18</v>
      </c>
      <c r="F57" s="14" t="s">
        <v>120</v>
      </c>
      <c r="G57" s="12" t="s">
        <v>49</v>
      </c>
      <c r="H57" s="12" t="s">
        <v>121</v>
      </c>
      <c r="I57" s="12" t="s">
        <v>122</v>
      </c>
      <c r="J57" s="27" t="s">
        <v>52</v>
      </c>
      <c r="K57" s="42"/>
      <c r="L57" s="12" t="s">
        <v>123</v>
      </c>
      <c r="M57" s="43">
        <v>45721</v>
      </c>
      <c r="N57" s="13">
        <f t="shared" ca="1" si="0"/>
        <v>260</v>
      </c>
      <c r="O57" s="39" t="s">
        <v>124</v>
      </c>
      <c r="P57" s="23" t="s">
        <v>125</v>
      </c>
      <c r="Q57" s="16"/>
      <c r="R57" s="35"/>
      <c r="S57" s="25"/>
      <c r="T57" s="36">
        <v>45689</v>
      </c>
      <c r="U57" s="16"/>
    </row>
    <row r="58" spans="1:21" s="20" customFormat="1" x14ac:dyDescent="0.25">
      <c r="A58" s="26">
        <v>10</v>
      </c>
      <c r="B58" s="13" t="s">
        <v>102</v>
      </c>
      <c r="C58" s="12" t="s">
        <v>57</v>
      </c>
      <c r="D58" s="12" t="s">
        <v>103</v>
      </c>
      <c r="E58" s="13" t="s">
        <v>37</v>
      </c>
      <c r="F58" s="14" t="s">
        <v>126</v>
      </c>
      <c r="G58" s="12" t="s">
        <v>105</v>
      </c>
      <c r="H58" s="12" t="s">
        <v>127</v>
      </c>
      <c r="I58" s="12" t="s">
        <v>128</v>
      </c>
      <c r="J58" s="27" t="s">
        <v>52</v>
      </c>
      <c r="K58" s="16"/>
      <c r="L58" s="16" t="s">
        <v>129</v>
      </c>
      <c r="M58" s="27">
        <v>45813</v>
      </c>
      <c r="N58" s="13">
        <f t="shared" ca="1" si="0"/>
        <v>168</v>
      </c>
      <c r="O58" s="12" t="s">
        <v>130</v>
      </c>
      <c r="P58" s="12" t="s">
        <v>131</v>
      </c>
      <c r="Q58" s="35">
        <f>M58+90</f>
        <v>45903</v>
      </c>
      <c r="R58" s="16"/>
      <c r="S58" s="25"/>
      <c r="T58" s="32">
        <v>45717</v>
      </c>
      <c r="U58" s="12"/>
    </row>
    <row r="59" spans="1:21" s="20" customFormat="1" x14ac:dyDescent="0.25">
      <c r="A59" s="26">
        <v>11</v>
      </c>
      <c r="B59" s="13" t="s">
        <v>56</v>
      </c>
      <c r="C59" s="12" t="s">
        <v>132</v>
      </c>
      <c r="D59" s="12" t="s">
        <v>58</v>
      </c>
      <c r="E59" s="13" t="s">
        <v>37</v>
      </c>
      <c r="F59" s="14" t="s">
        <v>133</v>
      </c>
      <c r="G59" s="12" t="s">
        <v>60</v>
      </c>
      <c r="H59" s="12" t="s">
        <v>134</v>
      </c>
      <c r="I59" s="12" t="s">
        <v>135</v>
      </c>
      <c r="J59" s="27" t="s">
        <v>52</v>
      </c>
      <c r="K59" s="16"/>
      <c r="L59" s="16" t="s">
        <v>136</v>
      </c>
      <c r="M59" s="27">
        <v>45813</v>
      </c>
      <c r="N59" s="13">
        <f t="shared" ca="1" si="0"/>
        <v>168</v>
      </c>
      <c r="O59" s="12" t="s">
        <v>137</v>
      </c>
      <c r="P59" s="12" t="s">
        <v>138</v>
      </c>
      <c r="Q59" s="16"/>
      <c r="R59" s="16"/>
      <c r="S59" s="25"/>
      <c r="T59" s="32">
        <v>45778</v>
      </c>
      <c r="U59" s="12"/>
    </row>
    <row r="60" spans="1:21" s="20" customFormat="1" x14ac:dyDescent="0.25">
      <c r="A60" s="26">
        <v>12</v>
      </c>
      <c r="B60" s="13" t="s">
        <v>139</v>
      </c>
      <c r="C60" s="12" t="s">
        <v>35</v>
      </c>
      <c r="D60" s="12" t="s">
        <v>140</v>
      </c>
      <c r="E60" s="13" t="s">
        <v>37</v>
      </c>
      <c r="F60" s="14" t="s">
        <v>141</v>
      </c>
      <c r="G60" s="12" t="s">
        <v>142</v>
      </c>
      <c r="H60" s="12" t="s">
        <v>143</v>
      </c>
      <c r="I60" s="12" t="s">
        <v>144</v>
      </c>
      <c r="J60" s="27" t="s">
        <v>52</v>
      </c>
      <c r="K60" s="16"/>
      <c r="L60" s="16" t="s">
        <v>145</v>
      </c>
      <c r="M60" s="27">
        <v>45854</v>
      </c>
      <c r="N60" s="13">
        <f t="shared" ca="1" si="0"/>
        <v>127</v>
      </c>
      <c r="O60" s="12" t="s">
        <v>146</v>
      </c>
      <c r="P60" s="12" t="s">
        <v>147</v>
      </c>
      <c r="Q60" s="53" t="s">
        <v>148</v>
      </c>
      <c r="R60" s="16"/>
      <c r="S60" s="51">
        <f>M60+180</f>
        <v>46034</v>
      </c>
      <c r="T60" s="32">
        <v>45778</v>
      </c>
      <c r="U60" s="16"/>
    </row>
    <row r="61" spans="1:21" s="20" customFormat="1" x14ac:dyDescent="0.25">
      <c r="A61" s="26">
        <v>13</v>
      </c>
      <c r="B61" s="41" t="s">
        <v>352</v>
      </c>
      <c r="C61" s="12" t="s">
        <v>76</v>
      </c>
      <c r="D61" s="37" t="s">
        <v>353</v>
      </c>
      <c r="E61" s="22" t="s">
        <v>18</v>
      </c>
      <c r="F61" s="14" t="s">
        <v>354</v>
      </c>
      <c r="G61" s="12" t="s">
        <v>151</v>
      </c>
      <c r="H61" s="12" t="s">
        <v>355</v>
      </c>
      <c r="I61" s="12" t="s">
        <v>356</v>
      </c>
      <c r="J61" s="27" t="s">
        <v>52</v>
      </c>
      <c r="K61" s="16"/>
      <c r="L61" s="16" t="s">
        <v>357</v>
      </c>
      <c r="M61" s="27">
        <v>45860</v>
      </c>
      <c r="N61" s="13">
        <f ca="1">TODAY()-M61</f>
        <v>121</v>
      </c>
      <c r="O61" s="12" t="s">
        <v>358</v>
      </c>
      <c r="P61" s="62" t="s">
        <v>359</v>
      </c>
      <c r="Q61" s="16"/>
      <c r="R61" s="16"/>
      <c r="S61" s="51">
        <f>M61+180</f>
        <v>46040</v>
      </c>
      <c r="T61" s="32">
        <v>45778</v>
      </c>
      <c r="U61" s="12"/>
    </row>
    <row r="62" spans="1:21" x14ac:dyDescent="0.25">
      <c r="F62" s="70" t="s">
        <v>19</v>
      </c>
      <c r="G62" s="71"/>
      <c r="H62" s="71"/>
      <c r="I62" s="72"/>
      <c r="J62" s="29"/>
    </row>
    <row r="63" spans="1:21" s="20" customFormat="1" x14ac:dyDescent="0.25">
      <c r="A63" s="10"/>
      <c r="B63" s="11"/>
      <c r="C63" s="12"/>
      <c r="D63" s="12"/>
      <c r="E63" s="13"/>
      <c r="F63" s="14"/>
      <c r="G63" s="12"/>
      <c r="H63" s="12"/>
      <c r="I63" s="12"/>
      <c r="J63" s="15"/>
      <c r="K63" s="12"/>
      <c r="L63" s="16"/>
      <c r="M63" s="31"/>
      <c r="N63" s="17"/>
      <c r="O63" s="18"/>
      <c r="P63" s="18"/>
      <c r="Q63" s="18"/>
      <c r="R63" s="16"/>
      <c r="S63"/>
    </row>
    <row r="64" spans="1:21" x14ac:dyDescent="0.25">
      <c r="A64" s="10"/>
      <c r="B64" s="11"/>
      <c r="C64" s="12"/>
      <c r="D64" s="12"/>
      <c r="E64" s="13"/>
      <c r="F64" s="14"/>
      <c r="G64" s="12"/>
      <c r="H64" s="12"/>
      <c r="I64" s="11"/>
      <c r="J64" s="12"/>
      <c r="K64" s="12"/>
      <c r="L64" s="12"/>
      <c r="M64" s="12"/>
      <c r="N64" s="17"/>
      <c r="O64" s="18"/>
      <c r="P64" s="18"/>
      <c r="Q64" s="18"/>
      <c r="R64" s="12"/>
      <c r="S64" s="20"/>
      <c r="T64" s="21"/>
    </row>
    <row r="65" spans="1:20" s="20" customFormat="1" x14ac:dyDescent="0.25">
      <c r="A65" s="10"/>
      <c r="B65" s="11"/>
      <c r="C65" s="12"/>
      <c r="D65" s="12"/>
      <c r="E65" s="13"/>
      <c r="F65" s="14"/>
      <c r="G65" s="12"/>
      <c r="H65" s="18"/>
      <c r="I65" s="12"/>
      <c r="J65" s="15"/>
      <c r="K65" s="12"/>
      <c r="L65" s="16"/>
      <c r="M65" s="13"/>
      <c r="N65" s="17"/>
      <c r="O65" s="18"/>
      <c r="P65" s="18"/>
      <c r="Q65" s="18"/>
      <c r="R65" s="16"/>
      <c r="S65"/>
    </row>
    <row r="66" spans="1:20" s="20" customFormat="1" x14ac:dyDescent="0.25">
      <c r="A66" s="10"/>
      <c r="B66" s="12"/>
      <c r="C66" s="12"/>
      <c r="D66" s="12"/>
      <c r="E66" s="13"/>
      <c r="F66" s="14"/>
      <c r="G66" s="12"/>
      <c r="H66" s="12"/>
      <c r="I66" s="12"/>
      <c r="J66" s="15"/>
      <c r="K66" s="12"/>
      <c r="L66" s="16"/>
      <c r="M66" s="13"/>
      <c r="N66" s="17"/>
      <c r="O66" s="18"/>
      <c r="P66" s="18"/>
      <c r="Q66" s="18"/>
      <c r="R66" s="16"/>
      <c r="S66"/>
    </row>
    <row r="67" spans="1:20" x14ac:dyDescent="0.25">
      <c r="A67" s="10"/>
      <c r="B67" s="19"/>
      <c r="C67" s="12"/>
      <c r="D67" s="12"/>
      <c r="E67" s="13"/>
      <c r="F67" s="13"/>
      <c r="G67" s="12"/>
      <c r="H67" s="12"/>
      <c r="I67" s="11"/>
      <c r="J67" s="15"/>
      <c r="K67" s="12"/>
      <c r="L67" s="16"/>
      <c r="M67" s="13"/>
      <c r="N67" s="17"/>
      <c r="O67" s="18"/>
      <c r="P67" s="18"/>
      <c r="Q67" s="12"/>
      <c r="R67" s="12"/>
      <c r="T67" s="21"/>
    </row>
    <row r="68" spans="1:20" s="20" customFormat="1" x14ac:dyDescent="0.25">
      <c r="A68" s="10"/>
      <c r="B68" s="11"/>
      <c r="C68" s="12"/>
      <c r="D68" s="12"/>
      <c r="E68" s="13"/>
      <c r="F68" s="14"/>
      <c r="G68" s="12"/>
      <c r="H68" s="18"/>
      <c r="I68" s="18"/>
      <c r="J68" s="15"/>
      <c r="K68" s="12"/>
      <c r="L68" s="16"/>
      <c r="M68" s="13"/>
      <c r="N68" s="17"/>
      <c r="O68" s="18"/>
      <c r="P68" s="18"/>
      <c r="Q68" s="18"/>
      <c r="R68" s="16"/>
      <c r="S68"/>
    </row>
    <row r="69" spans="1:20" s="20" customFormat="1" x14ac:dyDescent="0.25">
      <c r="A69" s="10"/>
      <c r="B69" s="11"/>
      <c r="C69" s="12"/>
      <c r="D69" s="12"/>
      <c r="E69" s="30"/>
      <c r="F69" s="14"/>
      <c r="G69" s="12"/>
      <c r="H69" s="12"/>
      <c r="I69" s="12"/>
      <c r="J69" s="15"/>
      <c r="K69" s="12"/>
      <c r="L69" s="16"/>
      <c r="M69" s="13"/>
      <c r="N69" s="17"/>
      <c r="O69" s="18"/>
      <c r="P69" s="18"/>
      <c r="Q69" s="18"/>
      <c r="R69" s="16"/>
      <c r="S69"/>
    </row>
    <row r="70" spans="1:20" x14ac:dyDescent="0.25">
      <c r="A70" s="10"/>
      <c r="B70" s="19"/>
      <c r="C70" s="12"/>
      <c r="D70" s="12"/>
      <c r="E70" s="13"/>
      <c r="F70" s="14"/>
      <c r="G70" s="12"/>
      <c r="H70" s="18"/>
      <c r="I70" s="18"/>
      <c r="J70" s="15"/>
      <c r="K70" s="12"/>
      <c r="L70" s="16"/>
      <c r="M70" s="13"/>
      <c r="N70" s="17"/>
      <c r="O70" s="18"/>
      <c r="P70" s="18"/>
      <c r="Q70" s="18"/>
      <c r="R70" s="12"/>
      <c r="T70" s="21"/>
    </row>
  </sheetData>
  <autoFilter ref="A2:V47" xr:uid="{206F9A7B-2978-449A-9346-57E68D0ED1E0}"/>
  <mergeCells count="4">
    <mergeCell ref="F1:I1"/>
    <mergeCell ref="F33:I33"/>
    <mergeCell ref="F48:I48"/>
    <mergeCell ref="F62:I62"/>
  </mergeCells>
  <conditionalFormatting sqref="F3">
    <cfRule type="duplicateValues" dxfId="268" priority="216"/>
    <cfRule type="duplicateValues" dxfId="267" priority="217"/>
  </conditionalFormatting>
  <conditionalFormatting sqref="F4">
    <cfRule type="duplicateValues" dxfId="266" priority="212"/>
  </conditionalFormatting>
  <conditionalFormatting sqref="F5">
    <cfRule type="duplicateValues" dxfId="265" priority="184"/>
  </conditionalFormatting>
  <conditionalFormatting sqref="F6">
    <cfRule type="duplicateValues" dxfId="264" priority="180"/>
    <cfRule type="duplicateValues" dxfId="263" priority="181"/>
  </conditionalFormatting>
  <conditionalFormatting sqref="F7">
    <cfRule type="duplicateValues" dxfId="262" priority="177"/>
  </conditionalFormatting>
  <conditionalFormatting sqref="F8">
    <cfRule type="duplicateValues" dxfId="261" priority="174"/>
  </conditionalFormatting>
  <conditionalFormatting sqref="F9">
    <cfRule type="duplicateValues" dxfId="260" priority="170"/>
    <cfRule type="duplicateValues" dxfId="259" priority="171"/>
  </conditionalFormatting>
  <conditionalFormatting sqref="F10">
    <cfRule type="duplicateValues" dxfId="258" priority="161"/>
  </conditionalFormatting>
  <conditionalFormatting sqref="F11">
    <cfRule type="duplicateValues" dxfId="257" priority="164"/>
  </conditionalFormatting>
  <conditionalFormatting sqref="F12">
    <cfRule type="duplicateValues" dxfId="256" priority="167"/>
  </conditionalFormatting>
  <conditionalFormatting sqref="F13">
    <cfRule type="duplicateValues" dxfId="255" priority="125"/>
  </conditionalFormatting>
  <conditionalFormatting sqref="F14">
    <cfRule type="duplicateValues" dxfId="254" priority="122"/>
  </conditionalFormatting>
  <conditionalFormatting sqref="F15">
    <cfRule type="duplicateValues" dxfId="253" priority="119"/>
  </conditionalFormatting>
  <conditionalFormatting sqref="F16">
    <cfRule type="duplicateValues" dxfId="252" priority="116"/>
  </conditionalFormatting>
  <conditionalFormatting sqref="F17:F19">
    <cfRule type="duplicateValues" dxfId="251" priority="128"/>
  </conditionalFormatting>
  <conditionalFormatting sqref="F20">
    <cfRule type="duplicateValues" dxfId="250" priority="85"/>
  </conditionalFormatting>
  <conditionalFormatting sqref="F21">
    <cfRule type="duplicateValues" dxfId="249" priority="77"/>
  </conditionalFormatting>
  <conditionalFormatting sqref="F22">
    <cfRule type="duplicateValues" dxfId="248" priority="69"/>
  </conditionalFormatting>
  <conditionalFormatting sqref="F23">
    <cfRule type="duplicateValues" dxfId="247" priority="66"/>
  </conditionalFormatting>
  <conditionalFormatting sqref="F24">
    <cfRule type="duplicateValues" dxfId="246" priority="65"/>
  </conditionalFormatting>
  <conditionalFormatting sqref="F25:F26">
    <cfRule type="duplicateValues" dxfId="245" priority="48"/>
  </conditionalFormatting>
  <conditionalFormatting sqref="F27:F29">
    <cfRule type="duplicateValues" dxfId="244" priority="35"/>
  </conditionalFormatting>
  <conditionalFormatting sqref="F30">
    <cfRule type="duplicateValues" dxfId="243" priority="25"/>
    <cfRule type="duplicateValues" dxfId="242" priority="26"/>
  </conditionalFormatting>
  <conditionalFormatting sqref="F31">
    <cfRule type="duplicateValues" dxfId="241" priority="17"/>
  </conditionalFormatting>
  <conditionalFormatting sqref="F32">
    <cfRule type="duplicateValues" dxfId="240" priority="14"/>
  </conditionalFormatting>
  <conditionalFormatting sqref="F34:F47">
    <cfRule type="duplicateValues" dxfId="239" priority="88"/>
  </conditionalFormatting>
  <conditionalFormatting sqref="F50">
    <cfRule type="duplicateValues" dxfId="238" priority="187"/>
    <cfRule type="duplicateValues" dxfId="237" priority="188"/>
  </conditionalFormatting>
  <conditionalFormatting sqref="F51 F58:F59 F55 F49">
    <cfRule type="duplicateValues" dxfId="236" priority="204"/>
    <cfRule type="duplicateValues" dxfId="235" priority="205"/>
  </conditionalFormatting>
  <conditionalFormatting sqref="F52">
    <cfRule type="duplicateValues" dxfId="234" priority="191"/>
    <cfRule type="duplicateValues" dxfId="233" priority="192"/>
  </conditionalFormatting>
  <conditionalFormatting sqref="F53">
    <cfRule type="duplicateValues" dxfId="232" priority="195"/>
    <cfRule type="duplicateValues" dxfId="231" priority="196"/>
  </conditionalFormatting>
  <conditionalFormatting sqref="F54">
    <cfRule type="duplicateValues" dxfId="230" priority="197"/>
  </conditionalFormatting>
  <conditionalFormatting sqref="F56:F57">
    <cfRule type="duplicateValues" dxfId="229" priority="199"/>
    <cfRule type="duplicateValues" dxfId="228" priority="198"/>
  </conditionalFormatting>
  <conditionalFormatting sqref="F60">
    <cfRule type="duplicateValues" dxfId="227" priority="185"/>
    <cfRule type="duplicateValues" dxfId="226" priority="186"/>
  </conditionalFormatting>
  <conditionalFormatting sqref="F61">
    <cfRule type="duplicateValues" dxfId="225" priority="28"/>
    <cfRule type="duplicateValues" dxfId="224" priority="29"/>
  </conditionalFormatting>
  <conditionalFormatting sqref="F62:F1048576 F48 F33 F1:F2">
    <cfRule type="duplicateValues" dxfId="223" priority="728"/>
  </conditionalFormatting>
  <conditionalFormatting sqref="F63">
    <cfRule type="duplicateValues" dxfId="222" priority="774"/>
    <cfRule type="duplicateValues" dxfId="221" priority="773"/>
  </conditionalFormatting>
  <conditionalFormatting sqref="F64">
    <cfRule type="duplicateValues" dxfId="220" priority="775"/>
    <cfRule type="duplicateValues" dxfId="219" priority="776"/>
  </conditionalFormatting>
  <conditionalFormatting sqref="F65">
    <cfRule type="duplicateValues" dxfId="218" priority="777"/>
  </conditionalFormatting>
  <conditionalFormatting sqref="F66">
    <cfRule type="duplicateValues" dxfId="217" priority="779"/>
    <cfRule type="duplicateValues" dxfId="216" priority="778"/>
  </conditionalFormatting>
  <conditionalFormatting sqref="F67">
    <cfRule type="duplicateValues" dxfId="215" priority="780"/>
  </conditionalFormatting>
  <conditionalFormatting sqref="F68">
    <cfRule type="duplicateValues" dxfId="214" priority="781"/>
    <cfRule type="duplicateValues" dxfId="213" priority="782"/>
  </conditionalFormatting>
  <conditionalFormatting sqref="F69">
    <cfRule type="duplicateValues" dxfId="212" priority="783"/>
    <cfRule type="duplicateValues" dxfId="211" priority="784"/>
  </conditionalFormatting>
  <conditionalFormatting sqref="F70">
    <cfRule type="duplicateValues" dxfId="210" priority="786"/>
    <cfRule type="duplicateValues" dxfId="209" priority="785"/>
  </conditionalFormatting>
  <conditionalFormatting sqref="F71:F1048576 F2">
    <cfRule type="duplicateValues" dxfId="208" priority="787"/>
  </conditionalFormatting>
  <conditionalFormatting sqref="F71:F1048576 F33 F1:F2 F48 F62">
    <cfRule type="duplicateValues" dxfId="207" priority="789"/>
  </conditionalFormatting>
  <conditionalFormatting sqref="F71:F1048576 F48 F1:F2 F33 F62">
    <cfRule type="duplicateValues" dxfId="206" priority="794"/>
  </conditionalFormatting>
  <conditionalFormatting sqref="M3">
    <cfRule type="duplicateValues" dxfId="205" priority="213"/>
  </conditionalFormatting>
  <conditionalFormatting sqref="M4">
    <cfRule type="duplicateValues" dxfId="204" priority="206"/>
  </conditionalFormatting>
  <conditionalFormatting sqref="M5">
    <cfRule type="duplicateValues" dxfId="203" priority="158"/>
  </conditionalFormatting>
  <conditionalFormatting sqref="M6">
    <cfRule type="duplicateValues" dxfId="202" priority="157"/>
  </conditionalFormatting>
  <conditionalFormatting sqref="M7">
    <cfRule type="duplicateValues" dxfId="201" priority="156"/>
  </conditionalFormatting>
  <conditionalFormatting sqref="M8">
    <cfRule type="duplicateValues" dxfId="200" priority="155"/>
  </conditionalFormatting>
  <conditionalFormatting sqref="M9">
    <cfRule type="duplicateValues" dxfId="199" priority="154"/>
  </conditionalFormatting>
  <conditionalFormatting sqref="M10">
    <cfRule type="duplicateValues" dxfId="198" priority="153"/>
  </conditionalFormatting>
  <conditionalFormatting sqref="M11">
    <cfRule type="duplicateValues" dxfId="197" priority="152"/>
  </conditionalFormatting>
  <conditionalFormatting sqref="M12">
    <cfRule type="duplicateValues" dxfId="196" priority="151"/>
  </conditionalFormatting>
  <conditionalFormatting sqref="M13">
    <cfRule type="duplicateValues" dxfId="195" priority="115"/>
  </conditionalFormatting>
  <conditionalFormatting sqref="M14">
    <cfRule type="duplicateValues" dxfId="194" priority="114"/>
  </conditionalFormatting>
  <conditionalFormatting sqref="M15:M17">
    <cfRule type="duplicateValues" dxfId="193" priority="113"/>
  </conditionalFormatting>
  <conditionalFormatting sqref="M18">
    <cfRule type="duplicateValues" dxfId="192" priority="111"/>
  </conditionalFormatting>
  <conditionalFormatting sqref="M19">
    <cfRule type="duplicateValues" dxfId="191" priority="110"/>
  </conditionalFormatting>
  <conditionalFormatting sqref="M20">
    <cfRule type="duplicateValues" dxfId="190" priority="82"/>
  </conditionalFormatting>
  <conditionalFormatting sqref="M21">
    <cfRule type="duplicateValues" dxfId="189" priority="74"/>
  </conditionalFormatting>
  <conditionalFormatting sqref="M22">
    <cfRule type="duplicateValues" dxfId="188" priority="60"/>
  </conditionalFormatting>
  <conditionalFormatting sqref="M23">
    <cfRule type="duplicateValues" dxfId="187" priority="59"/>
  </conditionalFormatting>
  <conditionalFormatting sqref="M24">
    <cfRule type="duplicateValues" dxfId="186" priority="58"/>
  </conditionalFormatting>
  <conditionalFormatting sqref="M25">
    <cfRule type="duplicateValues" dxfId="185" priority="57"/>
  </conditionalFormatting>
  <conditionalFormatting sqref="M26">
    <cfRule type="duplicateValues" dxfId="184" priority="56"/>
  </conditionalFormatting>
  <conditionalFormatting sqref="M27">
    <cfRule type="duplicateValues" dxfId="183" priority="38"/>
  </conditionalFormatting>
  <conditionalFormatting sqref="M28">
    <cfRule type="duplicateValues" dxfId="182" priority="37"/>
  </conditionalFormatting>
  <conditionalFormatting sqref="M30">
    <cfRule type="duplicateValues" dxfId="181" priority="22"/>
  </conditionalFormatting>
  <conditionalFormatting sqref="M31">
    <cfRule type="duplicateValues" dxfId="180" priority="2"/>
  </conditionalFormatting>
  <conditionalFormatting sqref="M32">
    <cfRule type="duplicateValues" dxfId="179" priority="3"/>
  </conditionalFormatting>
  <conditionalFormatting sqref="O13">
    <cfRule type="duplicateValues" dxfId="178" priority="123"/>
    <cfRule type="duplicateValues" dxfId="177" priority="124"/>
  </conditionalFormatting>
  <conditionalFormatting sqref="O20">
    <cfRule type="duplicateValues" dxfId="176" priority="83"/>
    <cfRule type="duplicateValues" dxfId="175" priority="84"/>
  </conditionalFormatting>
  <conditionalFormatting sqref="O52">
    <cfRule type="duplicateValues" dxfId="174" priority="190"/>
    <cfRule type="duplicateValues" dxfId="173" priority="189"/>
  </conditionalFormatting>
  <conditionalFormatting sqref="O3:P3">
    <cfRule type="duplicateValues" dxfId="172" priority="214"/>
    <cfRule type="duplicateValues" dxfId="171" priority="215"/>
  </conditionalFormatting>
  <conditionalFormatting sqref="O4:P4">
    <cfRule type="duplicateValues" dxfId="170" priority="211"/>
    <cfRule type="duplicateValues" dxfId="169" priority="210"/>
  </conditionalFormatting>
  <conditionalFormatting sqref="O5:P5">
    <cfRule type="duplicateValues" dxfId="168" priority="182"/>
    <cfRule type="duplicateValues" dxfId="167" priority="183"/>
  </conditionalFormatting>
  <conditionalFormatting sqref="O6:P6">
    <cfRule type="duplicateValues" dxfId="166" priority="179"/>
    <cfRule type="duplicateValues" dxfId="165" priority="178"/>
  </conditionalFormatting>
  <conditionalFormatting sqref="O7:P7">
    <cfRule type="duplicateValues" dxfId="164" priority="176"/>
    <cfRule type="duplicateValues" dxfId="163" priority="175"/>
  </conditionalFormatting>
  <conditionalFormatting sqref="O8:P8">
    <cfRule type="duplicateValues" dxfId="162" priority="173"/>
    <cfRule type="duplicateValues" dxfId="161" priority="172"/>
  </conditionalFormatting>
  <conditionalFormatting sqref="O9:P9">
    <cfRule type="duplicateValues" dxfId="160" priority="168"/>
    <cfRule type="duplicateValues" dxfId="159" priority="169"/>
  </conditionalFormatting>
  <conditionalFormatting sqref="O10:P10">
    <cfRule type="duplicateValues" dxfId="158" priority="159"/>
    <cfRule type="duplicateValues" dxfId="157" priority="160"/>
  </conditionalFormatting>
  <conditionalFormatting sqref="O11:P11">
    <cfRule type="duplicateValues" dxfId="156" priority="163"/>
    <cfRule type="duplicateValues" dxfId="155" priority="162"/>
  </conditionalFormatting>
  <conditionalFormatting sqref="O12:P12">
    <cfRule type="duplicateValues" dxfId="154" priority="166"/>
    <cfRule type="duplicateValues" dxfId="153" priority="165"/>
  </conditionalFormatting>
  <conditionalFormatting sqref="O14:P14">
    <cfRule type="duplicateValues" dxfId="152" priority="120"/>
    <cfRule type="duplicateValues" dxfId="151" priority="121"/>
  </conditionalFormatting>
  <conditionalFormatting sqref="O15:P15">
    <cfRule type="duplicateValues" dxfId="150" priority="117"/>
    <cfRule type="duplicateValues" dxfId="149" priority="118"/>
  </conditionalFormatting>
  <conditionalFormatting sqref="O16:P19">
    <cfRule type="duplicateValues" dxfId="148" priority="130"/>
    <cfRule type="duplicateValues" dxfId="147" priority="129"/>
  </conditionalFormatting>
  <conditionalFormatting sqref="O21:P21">
    <cfRule type="duplicateValues" dxfId="146" priority="75"/>
    <cfRule type="duplicateValues" dxfId="145" priority="76"/>
  </conditionalFormatting>
  <conditionalFormatting sqref="O22:P22">
    <cfRule type="duplicateValues" dxfId="144" priority="67"/>
    <cfRule type="duplicateValues" dxfId="143" priority="68"/>
  </conditionalFormatting>
  <conditionalFormatting sqref="O23:P25">
    <cfRule type="duplicateValues" dxfId="142" priority="63"/>
    <cfRule type="duplicateValues" dxfId="141" priority="64"/>
  </conditionalFormatting>
  <conditionalFormatting sqref="O26:P26">
    <cfRule type="duplicateValues" dxfId="140" priority="61"/>
    <cfRule type="duplicateValues" dxfId="139" priority="62"/>
  </conditionalFormatting>
  <conditionalFormatting sqref="O27:P27">
    <cfRule type="duplicateValues" dxfId="138" priority="45"/>
    <cfRule type="duplicateValues" dxfId="137" priority="44"/>
  </conditionalFormatting>
  <conditionalFormatting sqref="O28:P28">
    <cfRule type="duplicateValues" dxfId="136" priority="42"/>
    <cfRule type="duplicateValues" dxfId="135" priority="41"/>
  </conditionalFormatting>
  <conditionalFormatting sqref="O29:P29">
    <cfRule type="duplicateValues" dxfId="134" priority="40"/>
    <cfRule type="duplicateValues" dxfId="133" priority="39"/>
  </conditionalFormatting>
  <conditionalFormatting sqref="O30:P30">
    <cfRule type="duplicateValues" dxfId="132" priority="24"/>
    <cfRule type="duplicateValues" dxfId="131" priority="23"/>
  </conditionalFormatting>
  <conditionalFormatting sqref="O31:P31">
    <cfRule type="duplicateValues" dxfId="130" priority="15"/>
    <cfRule type="duplicateValues" dxfId="129" priority="16"/>
  </conditionalFormatting>
  <conditionalFormatting sqref="O32:P32">
    <cfRule type="duplicateValues" dxfId="128" priority="12"/>
    <cfRule type="duplicateValues" dxfId="127" priority="13"/>
  </conditionalFormatting>
  <conditionalFormatting sqref="O48:P48">
    <cfRule type="duplicateValues" dxfId="126" priority="724"/>
  </conditionalFormatting>
  <conditionalFormatting sqref="O58:P60 O55:P55">
    <cfRule type="duplicateValues" dxfId="125" priority="202"/>
    <cfRule type="duplicateValues" dxfId="124" priority="203"/>
  </conditionalFormatting>
  <conditionalFormatting sqref="O61:P61">
    <cfRule type="duplicateValues" dxfId="123" priority="31"/>
    <cfRule type="duplicateValues" dxfId="122" priority="30"/>
  </conditionalFormatting>
  <conditionalFormatting sqref="O63:P63">
    <cfRule type="duplicateValues" dxfId="121" priority="550"/>
    <cfRule type="duplicateValues" dxfId="120" priority="551"/>
  </conditionalFormatting>
  <conditionalFormatting sqref="O64:P64">
    <cfRule type="duplicateValues" dxfId="119" priority="713"/>
    <cfRule type="duplicateValues" dxfId="118" priority="712"/>
  </conditionalFormatting>
  <conditionalFormatting sqref="O65:P65">
    <cfRule type="duplicateValues" dxfId="117" priority="704"/>
    <cfRule type="duplicateValues" dxfId="116" priority="705"/>
  </conditionalFormatting>
  <conditionalFormatting sqref="O66:P66">
    <cfRule type="duplicateValues" dxfId="115" priority="686"/>
    <cfRule type="duplicateValues" dxfId="114" priority="685"/>
  </conditionalFormatting>
  <conditionalFormatting sqref="O68:P68">
    <cfRule type="duplicateValues" dxfId="113" priority="702"/>
    <cfRule type="duplicateValues" dxfId="112" priority="703"/>
  </conditionalFormatting>
  <conditionalFormatting sqref="O69:P69">
    <cfRule type="duplicateValues" dxfId="111" priority="693"/>
    <cfRule type="duplicateValues" dxfId="110" priority="692"/>
  </conditionalFormatting>
  <conditionalFormatting sqref="O70:P70 O67:P67">
    <cfRule type="duplicateValues" dxfId="109" priority="726"/>
    <cfRule type="duplicateValues" dxfId="108" priority="727"/>
  </conditionalFormatting>
  <conditionalFormatting sqref="P13">
    <cfRule type="duplicateValues" dxfId="107" priority="127"/>
    <cfRule type="duplicateValues" dxfId="106" priority="126"/>
  </conditionalFormatting>
  <conditionalFormatting sqref="P20">
    <cfRule type="duplicateValues" dxfId="105" priority="87"/>
    <cfRule type="duplicateValues" dxfId="104" priority="86"/>
  </conditionalFormatting>
  <conditionalFormatting sqref="P52">
    <cfRule type="duplicateValues" dxfId="103" priority="194"/>
    <cfRule type="duplicateValues" dxfId="102" priority="193"/>
  </conditionalFormatting>
  <conditionalFormatting sqref="P56:P57">
    <cfRule type="duplicateValues" dxfId="101" priority="200"/>
    <cfRule type="duplicateValues" dxfId="100" priority="201"/>
  </conditionalFormatting>
  <conditionalFormatting sqref="Q4">
    <cfRule type="duplicateValues" dxfId="99" priority="209"/>
    <cfRule type="duplicateValues" dxfId="98" priority="208"/>
    <cfRule type="duplicateValues" dxfId="97" priority="207"/>
  </conditionalFormatting>
  <conditionalFormatting sqref="Q6">
    <cfRule type="duplicateValues" dxfId="96" priority="150"/>
    <cfRule type="duplicateValues" dxfId="95" priority="149"/>
    <cfRule type="duplicateValues" dxfId="94" priority="148"/>
  </conditionalFormatting>
  <conditionalFormatting sqref="Q7">
    <cfRule type="duplicateValues" dxfId="93" priority="145"/>
    <cfRule type="duplicateValues" dxfId="92" priority="144"/>
    <cfRule type="duplicateValues" dxfId="91" priority="146"/>
    <cfRule type="duplicateValues" dxfId="90" priority="147"/>
  </conditionalFormatting>
  <conditionalFormatting sqref="Q8">
    <cfRule type="duplicateValues" dxfId="89" priority="143"/>
    <cfRule type="duplicateValues" dxfId="88" priority="142"/>
    <cfRule type="duplicateValues" dxfId="87" priority="141"/>
    <cfRule type="duplicateValues" dxfId="86" priority="140"/>
  </conditionalFormatting>
  <conditionalFormatting sqref="Q9">
    <cfRule type="duplicateValues" dxfId="85" priority="139"/>
  </conditionalFormatting>
  <conditionalFormatting sqref="Q10">
    <cfRule type="duplicateValues" dxfId="84" priority="138"/>
  </conditionalFormatting>
  <conditionalFormatting sqref="Q11">
    <cfRule type="duplicateValues" dxfId="83" priority="137"/>
    <cfRule type="duplicateValues" dxfId="82" priority="136"/>
    <cfRule type="duplicateValues" dxfId="81" priority="135"/>
  </conditionalFormatting>
  <conditionalFormatting sqref="Q12">
    <cfRule type="duplicateValues" dxfId="80" priority="134"/>
    <cfRule type="duplicateValues" dxfId="79" priority="133"/>
    <cfRule type="duplicateValues" dxfId="78" priority="131"/>
    <cfRule type="duplicateValues" dxfId="77" priority="132"/>
  </conditionalFormatting>
  <conditionalFormatting sqref="Q13">
    <cfRule type="duplicateValues" dxfId="76" priority="107"/>
    <cfRule type="duplicateValues" dxfId="75" priority="106"/>
    <cfRule type="duplicateValues" dxfId="74" priority="109"/>
    <cfRule type="duplicateValues" dxfId="73" priority="108"/>
  </conditionalFormatting>
  <conditionalFormatting sqref="Q14">
    <cfRule type="duplicateValues" dxfId="72" priority="105"/>
    <cfRule type="duplicateValues" dxfId="71" priority="102"/>
    <cfRule type="duplicateValues" dxfId="70" priority="103"/>
    <cfRule type="duplicateValues" dxfId="69" priority="104"/>
  </conditionalFormatting>
  <conditionalFormatting sqref="Q16">
    <cfRule type="duplicateValues" dxfId="68" priority="98"/>
    <cfRule type="duplicateValues" dxfId="67" priority="101"/>
    <cfRule type="duplicateValues" dxfId="66" priority="100"/>
    <cfRule type="duplicateValues" dxfId="65" priority="99"/>
  </conditionalFormatting>
  <conditionalFormatting sqref="Q17">
    <cfRule type="duplicateValues" dxfId="64" priority="97"/>
    <cfRule type="duplicateValues" dxfId="63" priority="96"/>
    <cfRule type="duplicateValues" dxfId="62" priority="95"/>
    <cfRule type="duplicateValues" dxfId="61" priority="94"/>
  </conditionalFormatting>
  <conditionalFormatting sqref="Q18">
    <cfRule type="duplicateValues" dxfId="60" priority="93"/>
  </conditionalFormatting>
  <conditionalFormatting sqref="Q19">
    <cfRule type="duplicateValues" dxfId="59" priority="89"/>
    <cfRule type="duplicateValues" dxfId="58" priority="90"/>
    <cfRule type="duplicateValues" dxfId="57" priority="91"/>
    <cfRule type="duplicateValues" dxfId="56" priority="92"/>
  </conditionalFormatting>
  <conditionalFormatting sqref="Q20">
    <cfRule type="duplicateValues" dxfId="55" priority="78"/>
    <cfRule type="duplicateValues" dxfId="54" priority="79"/>
    <cfRule type="duplicateValues" dxfId="53" priority="80"/>
    <cfRule type="duplicateValues" dxfId="52" priority="81"/>
  </conditionalFormatting>
  <conditionalFormatting sqref="Q21">
    <cfRule type="duplicateValues" dxfId="51" priority="70"/>
    <cfRule type="duplicateValues" dxfId="50" priority="71"/>
    <cfRule type="duplicateValues" dxfId="49" priority="72"/>
    <cfRule type="duplicateValues" dxfId="48" priority="73"/>
  </conditionalFormatting>
  <conditionalFormatting sqref="Q22">
    <cfRule type="duplicateValues" dxfId="47" priority="55"/>
    <cfRule type="duplicateValues" dxfId="46" priority="53"/>
    <cfRule type="duplicateValues" dxfId="45" priority="52"/>
    <cfRule type="duplicateValues" dxfId="44" priority="54"/>
  </conditionalFormatting>
  <conditionalFormatting sqref="Q23">
    <cfRule type="duplicateValues" dxfId="43" priority="51"/>
  </conditionalFormatting>
  <conditionalFormatting sqref="Q25">
    <cfRule type="duplicateValues" dxfId="42" priority="50"/>
  </conditionalFormatting>
  <conditionalFormatting sqref="Q26">
    <cfRule type="duplicateValues" dxfId="41" priority="49"/>
  </conditionalFormatting>
  <conditionalFormatting sqref="Q27">
    <cfRule type="duplicateValues" dxfId="40" priority="36"/>
  </conditionalFormatting>
  <conditionalFormatting sqref="Q28">
    <cfRule type="duplicateValues" dxfId="39" priority="34"/>
    <cfRule type="duplicateValues" dxfId="38" priority="33"/>
    <cfRule type="duplicateValues" dxfId="37" priority="32"/>
  </conditionalFormatting>
  <conditionalFormatting sqref="Q29">
    <cfRule type="duplicateValues" dxfId="36" priority="27"/>
  </conditionalFormatting>
  <conditionalFormatting sqref="Q30">
    <cfRule type="duplicateValues" dxfId="35" priority="21"/>
    <cfRule type="duplicateValues" dxfId="34" priority="20"/>
    <cfRule type="duplicateValues" dxfId="33" priority="18"/>
    <cfRule type="duplicateValues" dxfId="32" priority="19"/>
  </conditionalFormatting>
  <conditionalFormatting sqref="Q31">
    <cfRule type="duplicateValues" dxfId="31" priority="11"/>
    <cfRule type="duplicateValues" dxfId="30" priority="10"/>
    <cfRule type="duplicateValues" dxfId="29" priority="9"/>
    <cfRule type="duplicateValues" dxfId="28" priority="8"/>
  </conditionalFormatting>
  <conditionalFormatting sqref="Q32">
    <cfRule type="duplicateValues" dxfId="27" priority="4"/>
    <cfRule type="duplicateValues" dxfId="26" priority="5"/>
    <cfRule type="duplicateValues" dxfId="25" priority="6"/>
    <cfRule type="duplicateValues" dxfId="24" priority="7"/>
  </conditionalFormatting>
  <conditionalFormatting sqref="Q33:Q38">
    <cfRule type="duplicateValues" dxfId="23" priority="718"/>
    <cfRule type="duplicateValues" dxfId="22" priority="719"/>
    <cfRule type="duplicateValues" dxfId="21" priority="720"/>
  </conditionalFormatting>
  <conditionalFormatting sqref="Q63">
    <cfRule type="duplicateValues" dxfId="20" priority="545"/>
    <cfRule type="duplicateValues" dxfId="19" priority="547"/>
    <cfRule type="duplicateValues" dxfId="18" priority="546"/>
  </conditionalFormatting>
  <conditionalFormatting sqref="Q64">
    <cfRule type="duplicateValues" dxfId="17" priority="708"/>
    <cfRule type="duplicateValues" dxfId="16" priority="707"/>
    <cfRule type="duplicateValues" dxfId="15" priority="709"/>
  </conditionalFormatting>
  <conditionalFormatting sqref="Q65">
    <cfRule type="duplicateValues" dxfId="14" priority="698"/>
    <cfRule type="duplicateValues" dxfId="13" priority="697"/>
    <cfRule type="duplicateValues" dxfId="12" priority="699"/>
  </conditionalFormatting>
  <conditionalFormatting sqref="Q66">
    <cfRule type="duplicateValues" dxfId="11" priority="680"/>
    <cfRule type="duplicateValues" dxfId="10" priority="681"/>
    <cfRule type="duplicateValues" dxfId="9" priority="682"/>
  </conditionalFormatting>
  <conditionalFormatting sqref="Q68">
    <cfRule type="duplicateValues" dxfId="8" priority="696"/>
    <cfRule type="duplicateValues" dxfId="7" priority="695"/>
    <cfRule type="duplicateValues" dxfId="6" priority="694"/>
  </conditionalFormatting>
  <conditionalFormatting sqref="Q69">
    <cfRule type="duplicateValues" dxfId="5" priority="687"/>
    <cfRule type="duplicateValues" dxfId="4" priority="689"/>
    <cfRule type="duplicateValues" dxfId="3" priority="688"/>
  </conditionalFormatting>
  <conditionalFormatting sqref="Q70">
    <cfRule type="duplicateValues" dxfId="2" priority="674"/>
    <cfRule type="duplicateValues" dxfId="1" priority="676"/>
    <cfRule type="duplicateValues" dxfId="0" priority="67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admin5</dc:creator>
  <cp:lastModifiedBy>admin5</cp:lastModifiedBy>
  <dcterms:created xsi:type="dcterms:W3CDTF">2025-07-11T06:55:44Z</dcterms:created>
  <dcterms:modified xsi:type="dcterms:W3CDTF">2025-11-20T06:53:20Z</dcterms:modified>
</cp:coreProperties>
</file>